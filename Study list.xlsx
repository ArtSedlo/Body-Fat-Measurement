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 activeTab="1"/>
  </bookViews>
  <sheets>
    <sheet name="Лист4" sheetId="4" r:id="rId1"/>
    <sheet name="Source" sheetId="1" r:id="rId2"/>
    <sheet name="PIVOT" sheetId="5" r:id="rId3"/>
    <sheet name="Structured" sheetId="2" r:id="rId4"/>
    <sheet name="dir" sheetId="3" r:id="rId5"/>
  </sheets>
  <calcPr calcId="145621"/>
  <pivotCaches>
    <pivotCache cacheId="17" r:id="rId6"/>
    <pivotCache cacheId="18" r:id="rId7"/>
  </pivotCaches>
</workbook>
</file>

<file path=xl/calcChain.xml><?xml version="1.0" encoding="utf-8"?>
<calcChain xmlns="http://schemas.openxmlformats.org/spreadsheetml/2006/main">
  <c r="R56" i="1" l="1"/>
  <c r="R57" i="1"/>
  <c r="B78" i="3"/>
  <c r="R13" i="1"/>
  <c r="B77" i="3"/>
  <c r="R3" i="1"/>
  <c r="R4" i="1"/>
  <c r="R5" i="1"/>
  <c r="R6" i="1"/>
  <c r="R7" i="1"/>
  <c r="R8" i="1"/>
  <c r="R9" i="1"/>
  <c r="R10" i="1"/>
  <c r="R11" i="1"/>
  <c r="R12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2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1" i="3"/>
  <c r="H3" i="1" l="1"/>
  <c r="H11" i="1"/>
  <c r="J11" i="1" s="1"/>
  <c r="I11" i="1"/>
  <c r="H15" i="1"/>
  <c r="H19" i="1"/>
  <c r="H24" i="1"/>
  <c r="I24" i="1" s="1"/>
  <c r="H27" i="1"/>
  <c r="J27" i="1" s="1"/>
  <c r="I27" i="1"/>
  <c r="H28" i="1"/>
  <c r="I28" i="1" s="1"/>
  <c r="H31" i="1"/>
  <c r="I31" i="1" s="1"/>
  <c r="H35" i="1"/>
  <c r="H40" i="1"/>
  <c r="I40" i="1" s="1"/>
  <c r="H43" i="1"/>
  <c r="J43" i="1" s="1"/>
  <c r="I43" i="1"/>
  <c r="H44" i="1"/>
  <c r="I44" i="1" s="1"/>
  <c r="H47" i="1"/>
  <c r="H51" i="1"/>
  <c r="H56" i="1"/>
  <c r="I56" i="1" s="1"/>
  <c r="H59" i="1"/>
  <c r="J59" i="1" s="1"/>
  <c r="I59" i="1"/>
  <c r="H60" i="1"/>
  <c r="I60" i="1" s="1"/>
  <c r="H63" i="1"/>
  <c r="I63" i="1" s="1"/>
  <c r="H67" i="1"/>
  <c r="H72" i="1"/>
  <c r="I72" i="1" s="1"/>
  <c r="H75" i="1"/>
  <c r="J75" i="1" s="1"/>
  <c r="I75" i="1"/>
  <c r="H76" i="1"/>
  <c r="I76" i="1" s="1"/>
  <c r="H79" i="1"/>
  <c r="H88" i="1"/>
  <c r="I88" i="1" s="1"/>
  <c r="H91" i="1"/>
  <c r="J91" i="1" s="1"/>
  <c r="I91" i="1"/>
  <c r="H92" i="1"/>
  <c r="I92" i="1" s="1"/>
  <c r="H95" i="1"/>
  <c r="I95" i="1" s="1"/>
  <c r="H99" i="1"/>
  <c r="H2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G20" i="1"/>
  <c r="H20" i="1" s="1"/>
  <c r="G21" i="1"/>
  <c r="H21" i="1" s="1"/>
  <c r="G22" i="1"/>
  <c r="H22" i="1" s="1"/>
  <c r="G23" i="1"/>
  <c r="H23" i="1" s="1"/>
  <c r="G24" i="1"/>
  <c r="G25" i="1"/>
  <c r="H25" i="1" s="1"/>
  <c r="G26" i="1"/>
  <c r="H26" i="1" s="1"/>
  <c r="G27" i="1"/>
  <c r="G28" i="1"/>
  <c r="G29" i="1"/>
  <c r="H29" i="1" s="1"/>
  <c r="G30" i="1"/>
  <c r="H30" i="1" s="1"/>
  <c r="G31" i="1"/>
  <c r="G32" i="1"/>
  <c r="H32" i="1" s="1"/>
  <c r="G33" i="1"/>
  <c r="H33" i="1" s="1"/>
  <c r="G34" i="1"/>
  <c r="H34" i="1" s="1"/>
  <c r="G35" i="1"/>
  <c r="G36" i="1"/>
  <c r="H36" i="1" s="1"/>
  <c r="G37" i="1"/>
  <c r="H37" i="1" s="1"/>
  <c r="G38" i="1"/>
  <c r="H38" i="1" s="1"/>
  <c r="G39" i="1"/>
  <c r="H39" i="1" s="1"/>
  <c r="G40" i="1"/>
  <c r="G41" i="1"/>
  <c r="H41" i="1" s="1"/>
  <c r="G42" i="1"/>
  <c r="H42" i="1" s="1"/>
  <c r="G43" i="1"/>
  <c r="G44" i="1"/>
  <c r="G45" i="1"/>
  <c r="H45" i="1" s="1"/>
  <c r="G46" i="1"/>
  <c r="H46" i="1" s="1"/>
  <c r="G47" i="1"/>
  <c r="G48" i="1"/>
  <c r="H48" i="1" s="1"/>
  <c r="G49" i="1"/>
  <c r="H49" i="1" s="1"/>
  <c r="G50" i="1"/>
  <c r="H50" i="1" s="1"/>
  <c r="G51" i="1"/>
  <c r="G52" i="1"/>
  <c r="H52" i="1" s="1"/>
  <c r="G53" i="1"/>
  <c r="H53" i="1" s="1"/>
  <c r="G54" i="1"/>
  <c r="H54" i="1" s="1"/>
  <c r="G55" i="1"/>
  <c r="H55" i="1" s="1"/>
  <c r="G56" i="1"/>
  <c r="G57" i="1"/>
  <c r="H57" i="1" s="1"/>
  <c r="G58" i="1"/>
  <c r="H58" i="1" s="1"/>
  <c r="G59" i="1"/>
  <c r="G60" i="1"/>
  <c r="G61" i="1"/>
  <c r="H61" i="1" s="1"/>
  <c r="G62" i="1"/>
  <c r="H62" i="1" s="1"/>
  <c r="G63" i="1"/>
  <c r="G64" i="1"/>
  <c r="H64" i="1" s="1"/>
  <c r="G65" i="1"/>
  <c r="H65" i="1" s="1"/>
  <c r="G66" i="1"/>
  <c r="H66" i="1" s="1"/>
  <c r="G67" i="1"/>
  <c r="G68" i="1"/>
  <c r="H68" i="1" s="1"/>
  <c r="G69" i="1"/>
  <c r="H69" i="1" s="1"/>
  <c r="G70" i="1"/>
  <c r="H70" i="1" s="1"/>
  <c r="G71" i="1"/>
  <c r="H71" i="1" s="1"/>
  <c r="G72" i="1"/>
  <c r="G73" i="1"/>
  <c r="H73" i="1" s="1"/>
  <c r="G74" i="1"/>
  <c r="H74" i="1" s="1"/>
  <c r="G75" i="1"/>
  <c r="G76" i="1"/>
  <c r="G77" i="1"/>
  <c r="H77" i="1" s="1"/>
  <c r="G78" i="1"/>
  <c r="H78" i="1" s="1"/>
  <c r="G79" i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G89" i="1"/>
  <c r="H89" i="1" s="1"/>
  <c r="G90" i="1"/>
  <c r="H90" i="1" s="1"/>
  <c r="G91" i="1"/>
  <c r="G92" i="1"/>
  <c r="G93" i="1"/>
  <c r="H93" i="1" s="1"/>
  <c r="G94" i="1"/>
  <c r="H94" i="1" s="1"/>
  <c r="G95" i="1"/>
  <c r="G96" i="1"/>
  <c r="H96" i="1" s="1"/>
  <c r="G97" i="1"/>
  <c r="H97" i="1" s="1"/>
  <c r="G98" i="1"/>
  <c r="H98" i="1" s="1"/>
  <c r="G99" i="1"/>
  <c r="G100" i="1"/>
  <c r="H100" i="1" s="1"/>
  <c r="G101" i="1"/>
  <c r="H101" i="1" s="1"/>
  <c r="G102" i="1"/>
  <c r="H102" i="1" s="1"/>
  <c r="G103" i="1"/>
  <c r="H103" i="1" s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" i="1"/>
  <c r="I102" i="1" l="1"/>
  <c r="J102" i="1" s="1"/>
  <c r="I70" i="1"/>
  <c r="J70" i="1" s="1"/>
  <c r="I46" i="1"/>
  <c r="J46" i="1" s="1"/>
  <c r="I22" i="1"/>
  <c r="J22" i="1"/>
  <c r="I93" i="1"/>
  <c r="J93" i="1"/>
  <c r="I69" i="1"/>
  <c r="J69" i="1" s="1"/>
  <c r="I45" i="1"/>
  <c r="J45" i="1"/>
  <c r="I37" i="1"/>
  <c r="J37" i="1"/>
  <c r="I29" i="1"/>
  <c r="J29" i="1"/>
  <c r="I21" i="1"/>
  <c r="J21" i="1" s="1"/>
  <c r="I13" i="1"/>
  <c r="J13" i="1" s="1"/>
  <c r="I5" i="1"/>
  <c r="J5" i="1"/>
  <c r="I86" i="1"/>
  <c r="J86" i="1" s="1"/>
  <c r="I62" i="1"/>
  <c r="J62" i="1" s="1"/>
  <c r="I38" i="1"/>
  <c r="J38" i="1"/>
  <c r="I14" i="1"/>
  <c r="J14" i="1" s="1"/>
  <c r="I77" i="1"/>
  <c r="J77" i="1" s="1"/>
  <c r="I53" i="1"/>
  <c r="J53" i="1" s="1"/>
  <c r="I84" i="1"/>
  <c r="J84" i="1"/>
  <c r="I52" i="1"/>
  <c r="J52" i="1" s="1"/>
  <c r="I36" i="1"/>
  <c r="J36" i="1" s="1"/>
  <c r="I20" i="1"/>
  <c r="J20" i="1" s="1"/>
  <c r="I12" i="1"/>
  <c r="J12" i="1"/>
  <c r="I4" i="1"/>
  <c r="J4" i="1" s="1"/>
  <c r="I78" i="1"/>
  <c r="J78" i="1" s="1"/>
  <c r="I54" i="1"/>
  <c r="J54" i="1" s="1"/>
  <c r="I30" i="1"/>
  <c r="J30" i="1"/>
  <c r="I6" i="1"/>
  <c r="J6" i="1" s="1"/>
  <c r="I101" i="1"/>
  <c r="J101" i="1" s="1"/>
  <c r="I85" i="1"/>
  <c r="J85" i="1" s="1"/>
  <c r="I61" i="1"/>
  <c r="J61" i="1"/>
  <c r="I100" i="1"/>
  <c r="J100" i="1" s="1"/>
  <c r="I68" i="1"/>
  <c r="J68" i="1" s="1"/>
  <c r="I98" i="1"/>
  <c r="J98" i="1"/>
  <c r="I90" i="1"/>
  <c r="J90" i="1" s="1"/>
  <c r="I82" i="1"/>
  <c r="J82" i="1" s="1"/>
  <c r="I74" i="1"/>
  <c r="J74" i="1" s="1"/>
  <c r="I66" i="1"/>
  <c r="J66" i="1"/>
  <c r="I58" i="1"/>
  <c r="J58" i="1" s="1"/>
  <c r="I50" i="1"/>
  <c r="J50" i="1" s="1"/>
  <c r="I42" i="1"/>
  <c r="J42" i="1" s="1"/>
  <c r="I34" i="1"/>
  <c r="J34" i="1"/>
  <c r="I26" i="1"/>
  <c r="J26" i="1" s="1"/>
  <c r="I18" i="1"/>
  <c r="J18" i="1" s="1"/>
  <c r="I10" i="1"/>
  <c r="J10" i="1" s="1"/>
  <c r="J15" i="1"/>
  <c r="I94" i="1"/>
  <c r="J94" i="1"/>
  <c r="I97" i="1"/>
  <c r="J97" i="1" s="1"/>
  <c r="I89" i="1"/>
  <c r="J89" i="1"/>
  <c r="I73" i="1"/>
  <c r="J73" i="1"/>
  <c r="I65" i="1"/>
  <c r="J65" i="1"/>
  <c r="I57" i="1"/>
  <c r="J57" i="1" s="1"/>
  <c r="I49" i="1"/>
  <c r="J49" i="1"/>
  <c r="I41" i="1"/>
  <c r="J41" i="1"/>
  <c r="I33" i="1"/>
  <c r="J33" i="1"/>
  <c r="I25" i="1"/>
  <c r="J25" i="1" s="1"/>
  <c r="I17" i="1"/>
  <c r="J17" i="1"/>
  <c r="I9" i="1"/>
  <c r="J9" i="1"/>
  <c r="J35" i="1"/>
  <c r="I81" i="1"/>
  <c r="J81" i="1" s="1"/>
  <c r="I96" i="1"/>
  <c r="J96" i="1"/>
  <c r="I80" i="1"/>
  <c r="J80" i="1" s="1"/>
  <c r="I64" i="1"/>
  <c r="J64" i="1"/>
  <c r="I48" i="1"/>
  <c r="J48" i="1" s="1"/>
  <c r="I32" i="1"/>
  <c r="J32" i="1"/>
  <c r="I16" i="1"/>
  <c r="J16" i="1"/>
  <c r="I8" i="1"/>
  <c r="J8" i="1"/>
  <c r="J103" i="1"/>
  <c r="I103" i="1"/>
  <c r="I87" i="1"/>
  <c r="J87" i="1"/>
  <c r="I71" i="1"/>
  <c r="J71" i="1" s="1"/>
  <c r="I55" i="1"/>
  <c r="J55" i="1"/>
  <c r="J39" i="1"/>
  <c r="I39" i="1"/>
  <c r="I23" i="1"/>
  <c r="J23" i="1"/>
  <c r="I7" i="1"/>
  <c r="J7" i="1" s="1"/>
  <c r="J3" i="1"/>
  <c r="I99" i="1"/>
  <c r="J99" i="1" s="1"/>
  <c r="I67" i="1"/>
  <c r="J67" i="1" s="1"/>
  <c r="I35" i="1"/>
  <c r="I3" i="1"/>
  <c r="I79" i="1"/>
  <c r="J79" i="1" s="1"/>
  <c r="I47" i="1"/>
  <c r="J47" i="1" s="1"/>
  <c r="I15" i="1"/>
  <c r="I2" i="1"/>
  <c r="J2" i="1" s="1"/>
  <c r="J88" i="1"/>
  <c r="J72" i="1"/>
  <c r="J56" i="1"/>
  <c r="J40" i="1"/>
  <c r="J24" i="1"/>
  <c r="J95" i="1"/>
  <c r="J63" i="1"/>
  <c r="J31" i="1"/>
  <c r="I83" i="1"/>
  <c r="J83" i="1" s="1"/>
  <c r="I51" i="1"/>
  <c r="J51" i="1" s="1"/>
  <c r="I19" i="1"/>
  <c r="J19" i="1" s="1"/>
  <c r="J92" i="1"/>
  <c r="J76" i="1"/>
  <c r="J60" i="1"/>
  <c r="J44" i="1"/>
  <c r="J28" i="1"/>
</calcChain>
</file>

<file path=xl/sharedStrings.xml><?xml version="1.0" encoding="utf-8"?>
<sst xmlns="http://schemas.openxmlformats.org/spreadsheetml/2006/main" count="1055" uniqueCount="325">
  <si>
    <t>#28292 – Abbaspour 2021</t>
  </si>
  <si>
    <t>#28140 – Aguirre 2024</t>
  </si>
  <si>
    <t>#32139 – Ahmadi 2024</t>
  </si>
  <si>
    <t>#35451 – Alavi 2021</t>
  </si>
  <si>
    <t>#28059 – Anusitviwat 2023</t>
  </si>
  <si>
    <t>#28270 – Ballesteros-Pomar 2022</t>
  </si>
  <si>
    <t>#28602 – Bärebring 2020</t>
  </si>
  <si>
    <t>#28371 – BarretoSilva 2021</t>
  </si>
  <si>
    <t>#33162 – Baş 2023</t>
  </si>
  <si>
    <t>#34577 – Bea 2022</t>
  </si>
  <si>
    <t>#28305 – Bellafronte 2021</t>
  </si>
  <si>
    <t>#35479 – Bellafronte 2021</t>
  </si>
  <si>
    <t>#28447 – Benjaminsen 2025</t>
  </si>
  <si>
    <t>#31962 – Bennett 2024</t>
  </si>
  <si>
    <t>#28477 – Bongiovanni 2024</t>
  </si>
  <si>
    <t>#36353 – Bosaeus 2020</t>
  </si>
  <si>
    <t>#35272 – Boykin 2021</t>
  </si>
  <si>
    <t>#35382 – Brewer 2021</t>
  </si>
  <si>
    <t>#28925 – Buch 2022</t>
  </si>
  <si>
    <t>#28273 – Cabre 2021</t>
  </si>
  <si>
    <t>#28117 – Campa 2022</t>
  </si>
  <si>
    <t>#28087 – Carey 2023</t>
  </si>
  <si>
    <t>#28366 – Cataldi 2024</t>
  </si>
  <si>
    <t>#36037 – Cavedon 2020</t>
  </si>
  <si>
    <t>#28679 – Chen 2021</t>
  </si>
  <si>
    <t>#28116 – Coëffier 2022</t>
  </si>
  <si>
    <t>#36086 – Coëffier 2020</t>
  </si>
  <si>
    <t>#28466 – Combest 2025</t>
  </si>
  <si>
    <t>#28042 – Contreras-Bolívar 2022</t>
  </si>
  <si>
    <t>#28375 – Corrêa 2021</t>
  </si>
  <si>
    <t>#29074 – CruzRivera 2022</t>
  </si>
  <si>
    <t>#28348 – Dalah 2021</t>
  </si>
  <si>
    <t>#28245 – deAbreu 2020</t>
  </si>
  <si>
    <t>#28973 – Dou 2023</t>
  </si>
  <si>
    <t>#36499 – Dubey 2020</t>
  </si>
  <si>
    <t>#36754 – Fang 2020</t>
  </si>
  <si>
    <t>#28849 – Faron 2020</t>
  </si>
  <si>
    <t>#28401 – Feng 2024</t>
  </si>
  <si>
    <t>#28246 – Fernandez-Del-Valle 2022</t>
  </si>
  <si>
    <t>#31452 – Filteau 2024</t>
  </si>
  <si>
    <t>#28205 – GarrBarry 2022</t>
  </si>
  <si>
    <t>#36200 – Golja 2020</t>
  </si>
  <si>
    <t>#34950 – Gomez-Perez 2021</t>
  </si>
  <si>
    <t>#28614 – Green 2021</t>
  </si>
  <si>
    <t>#34723 – Grover 2022</t>
  </si>
  <si>
    <t>#28628 – Hamilton-James 2021</t>
  </si>
  <si>
    <t>#31843 – Herath 2024</t>
  </si>
  <si>
    <t>#28112 – Herda 2022</t>
  </si>
  <si>
    <t>#28088 – Holmes 2022</t>
  </si>
  <si>
    <t>#31356 – Huang 2025</t>
  </si>
  <si>
    <t>#28223 – Huang 2023</t>
  </si>
  <si>
    <t>#28369 – Hurt 2021</t>
  </si>
  <si>
    <t>#35920 – Iyengar 2021</t>
  </si>
  <si>
    <t>#32076 – Jagim 2024</t>
  </si>
  <si>
    <t>#31493 – Jian 2025</t>
  </si>
  <si>
    <t>#32828 – Juby 2023</t>
  </si>
  <si>
    <t>#36375 – Khan 2020</t>
  </si>
  <si>
    <t>#28139 – Kiefer 2022</t>
  </si>
  <si>
    <t>#28294 – Kracht 2021</t>
  </si>
  <si>
    <t>#28046 – Kroll 2022</t>
  </si>
  <si>
    <t>#28392 – Lahav 2021</t>
  </si>
  <si>
    <t>#28318 – Lai 2022</t>
  </si>
  <si>
    <t>#28150 – Martínez-Ferrán 2023</t>
  </si>
  <si>
    <t>#28056 – Tinsley 2022</t>
  </si>
  <si>
    <t>#28101 – Tinsley 2023</t>
  </si>
  <si>
    <t>#36542 – Tinsley 2020</t>
  </si>
  <si>
    <t>#34733 – vanBeijsterveldt 2022</t>
  </si>
  <si>
    <t>#34383 – vandenHelder 2022</t>
  </si>
  <si>
    <t>#33877 – Velázquez-Alva 2022</t>
  </si>
  <si>
    <t>#28188 – Vermeiren 2021</t>
  </si>
  <si>
    <t>#28163 – vonGraffenried 2021</t>
  </si>
  <si>
    <t>#34099 – Wang 2022</t>
  </si>
  <si>
    <t>#31386 – Westerheim 2025</t>
  </si>
  <si>
    <t>#36265 – Wood 2020</t>
  </si>
  <si>
    <t>#29751 – Woodward 2021</t>
  </si>
  <si>
    <t>#28005 – Yanchis 2023</t>
  </si>
  <si>
    <t>#28214 – Zambone 2020</t>
  </si>
  <si>
    <t>Study</t>
  </si>
  <si>
    <t>Count</t>
  </si>
  <si>
    <t>Названия строк</t>
  </si>
  <si>
    <t>Общий итог</t>
  </si>
  <si>
    <t>Количество по полю Count</t>
  </si>
  <si>
    <t>YEAR</t>
  </si>
  <si>
    <t>Number</t>
  </si>
  <si>
    <t>First Author</t>
  </si>
  <si>
    <t>StrLength</t>
  </si>
  <si>
    <t>StrLength2</t>
  </si>
  <si>
    <t>2021</t>
  </si>
  <si>
    <t>28292</t>
  </si>
  <si>
    <t>2024</t>
  </si>
  <si>
    <t>28140</t>
  </si>
  <si>
    <t>32139</t>
  </si>
  <si>
    <t>35451</t>
  </si>
  <si>
    <t>2023</t>
  </si>
  <si>
    <t>28059</t>
  </si>
  <si>
    <t>2022</t>
  </si>
  <si>
    <t>28270</t>
  </si>
  <si>
    <t>2020</t>
  </si>
  <si>
    <t>28602</t>
  </si>
  <si>
    <t>28371</t>
  </si>
  <si>
    <t>33162</t>
  </si>
  <si>
    <t>34577</t>
  </si>
  <si>
    <t>28305</t>
  </si>
  <si>
    <t>35479</t>
  </si>
  <si>
    <t>2025</t>
  </si>
  <si>
    <t>28447</t>
  </si>
  <si>
    <t>31962</t>
  </si>
  <si>
    <t>28477</t>
  </si>
  <si>
    <t>36353</t>
  </si>
  <si>
    <t>35272</t>
  </si>
  <si>
    <t>35382</t>
  </si>
  <si>
    <t>28925</t>
  </si>
  <si>
    <t>28273</t>
  </si>
  <si>
    <t>28117</t>
  </si>
  <si>
    <t>28087</t>
  </si>
  <si>
    <t>28366</t>
  </si>
  <si>
    <t>36037</t>
  </si>
  <si>
    <t>28679</t>
  </si>
  <si>
    <t>28116</t>
  </si>
  <si>
    <t>36086</t>
  </si>
  <si>
    <t>28466</t>
  </si>
  <si>
    <t>28042</t>
  </si>
  <si>
    <t>28375</t>
  </si>
  <si>
    <t>29074</t>
  </si>
  <si>
    <t>28348</t>
  </si>
  <si>
    <t>28245</t>
  </si>
  <si>
    <t>28973</t>
  </si>
  <si>
    <t>36499</t>
  </si>
  <si>
    <t>36754</t>
  </si>
  <si>
    <t>28849</t>
  </si>
  <si>
    <t>28401</t>
  </si>
  <si>
    <t>28246</t>
  </si>
  <si>
    <t>31452</t>
  </si>
  <si>
    <t>28205</t>
  </si>
  <si>
    <t>36200</t>
  </si>
  <si>
    <t>34950</t>
  </si>
  <si>
    <t>28614</t>
  </si>
  <si>
    <t>34723</t>
  </si>
  <si>
    <t>28628</t>
  </si>
  <si>
    <t>31843</t>
  </si>
  <si>
    <t>28112</t>
  </si>
  <si>
    <t>28088</t>
  </si>
  <si>
    <t>31356</t>
  </si>
  <si>
    <t>28223</t>
  </si>
  <si>
    <t>28369</t>
  </si>
  <si>
    <t>35920</t>
  </si>
  <si>
    <t>32076</t>
  </si>
  <si>
    <t>31493</t>
  </si>
  <si>
    <t>32828</t>
  </si>
  <si>
    <t>36375</t>
  </si>
  <si>
    <t>28139</t>
  </si>
  <si>
    <t>28294</t>
  </si>
  <si>
    <t>28046</t>
  </si>
  <si>
    <t>28392</t>
  </si>
  <si>
    <t>28318</t>
  </si>
  <si>
    <t>28150</t>
  </si>
  <si>
    <t>28056</t>
  </si>
  <si>
    <t>28101</t>
  </si>
  <si>
    <t>36542</t>
  </si>
  <si>
    <t>34733</t>
  </si>
  <si>
    <t>34383</t>
  </si>
  <si>
    <t>33877</t>
  </si>
  <si>
    <t>28188</t>
  </si>
  <si>
    <t>28163</t>
  </si>
  <si>
    <t>34099</t>
  </si>
  <si>
    <t>31386</t>
  </si>
  <si>
    <t>36265</t>
  </si>
  <si>
    <t>29751</t>
  </si>
  <si>
    <t>28005</t>
  </si>
  <si>
    <t>28214</t>
  </si>
  <si>
    <t>Abbaspour</t>
  </si>
  <si>
    <t>Aguirre</t>
  </si>
  <si>
    <t>Ahmadi</t>
  </si>
  <si>
    <t>Alavi</t>
  </si>
  <si>
    <t>Anusitviwat</t>
  </si>
  <si>
    <t>Ballesteros-Pomar</t>
  </si>
  <si>
    <t>Bärebring</t>
  </si>
  <si>
    <t>BarretoSilva</t>
  </si>
  <si>
    <t>Baş</t>
  </si>
  <si>
    <t>Bea</t>
  </si>
  <si>
    <t>Bellafronte</t>
  </si>
  <si>
    <t>Benjaminsen</t>
  </si>
  <si>
    <t>Bennett</t>
  </si>
  <si>
    <t>Bongiovanni</t>
  </si>
  <si>
    <t>Bosaeus</t>
  </si>
  <si>
    <t>Boykin</t>
  </si>
  <si>
    <t>Brewer</t>
  </si>
  <si>
    <t>Buch</t>
  </si>
  <si>
    <t>Cabre</t>
  </si>
  <si>
    <t>Campa</t>
  </si>
  <si>
    <t>Carey</t>
  </si>
  <si>
    <t>Cataldi</t>
  </si>
  <si>
    <t>Cavedon</t>
  </si>
  <si>
    <t>Chen</t>
  </si>
  <si>
    <t>Coëffier</t>
  </si>
  <si>
    <t>Combest</t>
  </si>
  <si>
    <t>Contreras-Bolívar</t>
  </si>
  <si>
    <t>Corrêa</t>
  </si>
  <si>
    <t>CruzRivera</t>
  </si>
  <si>
    <t>Dalah</t>
  </si>
  <si>
    <t>deAbreu</t>
  </si>
  <si>
    <t>Dou</t>
  </si>
  <si>
    <t>Dubey</t>
  </si>
  <si>
    <t>Fang</t>
  </si>
  <si>
    <t>Faron</t>
  </si>
  <si>
    <t>Feng</t>
  </si>
  <si>
    <t>Fernandez-Del-Valle</t>
  </si>
  <si>
    <t>Filteau</t>
  </si>
  <si>
    <t>GarrBarry</t>
  </si>
  <si>
    <t>Golja</t>
  </si>
  <si>
    <t>Gomez-Perez</t>
  </si>
  <si>
    <t>Green</t>
  </si>
  <si>
    <t>Grover</t>
  </si>
  <si>
    <t>Hamilton-James</t>
  </si>
  <si>
    <t>Herath</t>
  </si>
  <si>
    <t>Herda</t>
  </si>
  <si>
    <t>Holmes</t>
  </si>
  <si>
    <t>Huang</t>
  </si>
  <si>
    <t>Hurt</t>
  </si>
  <si>
    <t>Iyengar</t>
  </si>
  <si>
    <t>Jagim</t>
  </si>
  <si>
    <t>Jian</t>
  </si>
  <si>
    <t>Juby</t>
  </si>
  <si>
    <t>Khan</t>
  </si>
  <si>
    <t>Kiefer</t>
  </si>
  <si>
    <t>Kracht</t>
  </si>
  <si>
    <t>Kroll</t>
  </si>
  <si>
    <t>Lahav</t>
  </si>
  <si>
    <t>Lai</t>
  </si>
  <si>
    <t>Martínez-Ferrán</t>
  </si>
  <si>
    <t>Tinsley</t>
  </si>
  <si>
    <t>vanBeijsterveldt</t>
  </si>
  <si>
    <t>vandenHelder</t>
  </si>
  <si>
    <t>Velázquez-Alva</t>
  </si>
  <si>
    <t>Vermeiren</t>
  </si>
  <si>
    <t>vonGraffenried</t>
  </si>
  <si>
    <t>Wang</t>
  </si>
  <si>
    <t>Westerheim</t>
  </si>
  <si>
    <t>Wood</t>
  </si>
  <si>
    <t>Woodward</t>
  </si>
  <si>
    <t>Yanchis</t>
  </si>
  <si>
    <t>Zambone</t>
  </si>
  <si>
    <t>(пусто)</t>
  </si>
  <si>
    <t>N</t>
  </si>
  <si>
    <t>Количество по полю N</t>
  </si>
  <si>
    <t>Итог</t>
  </si>
  <si>
    <t>28005 – Yanchis 2023.pdf</t>
  </si>
  <si>
    <t>28042 – Contreras-Bolívar 2022.pdf</t>
  </si>
  <si>
    <t>28046 – Kroll 2022.pdf</t>
  </si>
  <si>
    <t>28056 – Tinsley 2022.pdf</t>
  </si>
  <si>
    <t>28059 – Anusitviwat 2023.pdf</t>
  </si>
  <si>
    <t>28087 – Carey 2023.pdf</t>
  </si>
  <si>
    <t>28088 – Holmes 2022.pdf</t>
  </si>
  <si>
    <t>28101 – Tinsley 2023.pdf</t>
  </si>
  <si>
    <t>28112 – Herda 2022.pdf</t>
  </si>
  <si>
    <t>28116 – Coëffier 2022.pdf</t>
  </si>
  <si>
    <t>28117 – Campa 2022.pdf</t>
  </si>
  <si>
    <t>28139 – Kiefer 2022.pdf</t>
  </si>
  <si>
    <t>28140 – Aguirre 2024.pdf</t>
  </si>
  <si>
    <t>28150 – Martínez-Ferrán 2023.pdf</t>
  </si>
  <si>
    <t>28163 – vonGraffenried 2021.pdf</t>
  </si>
  <si>
    <t>28188 – Vermeiren 2021.pdf</t>
  </si>
  <si>
    <t>28205 – GarrBarry 2022.pdf</t>
  </si>
  <si>
    <t>28214 – Zambone 2020.pdf</t>
  </si>
  <si>
    <t>28223 – Huang 2023.pdf</t>
  </si>
  <si>
    <t>28245 – deAbreu 2020.pdf</t>
  </si>
  <si>
    <t>28246 – Fernandez-Del-Valle 2022.pdf</t>
  </si>
  <si>
    <t>28270 – Ballesteros-Pomar 2022.pdf</t>
  </si>
  <si>
    <t>28273 – Cabre 2021.pdf</t>
  </si>
  <si>
    <t>28292 – Abbaspour 2021.pdf</t>
  </si>
  <si>
    <t>28294 – Kracht 2021.pdf</t>
  </si>
  <si>
    <t>28305 – Bellafronte 2021.pdf</t>
  </si>
  <si>
    <t>28318 – Lai 2022.pdf</t>
  </si>
  <si>
    <t>28348 – Dalah 2021.pdf</t>
  </si>
  <si>
    <t>28366 – Cataldi 2024.pdf</t>
  </si>
  <si>
    <t>28369 – Hurt 2021.pdf</t>
  </si>
  <si>
    <t>28371 – BarretoSilva 2021.pdf</t>
  </si>
  <si>
    <t>28392 – Lahav 2021.pdf</t>
  </si>
  <si>
    <t>28401 – Feng 2024.pdf</t>
  </si>
  <si>
    <t>28447 – Benjaminsen 2025.pdf</t>
  </si>
  <si>
    <t>28466 – Combest 2025.pdf</t>
  </si>
  <si>
    <t>28477 – Bongiovanni 2024 tracking_body_composition_over_a_competitive.29.pdf</t>
  </si>
  <si>
    <t>28477 – Bongiovanni 2024.pdf</t>
  </si>
  <si>
    <t>28602 – Bärebring 2020.pdf</t>
  </si>
  <si>
    <t>28614 – Green 2021.pdf</t>
  </si>
  <si>
    <t>28628 – Hamilton-James 2021.pdf</t>
  </si>
  <si>
    <t>28679 – Chen 2021.pdf</t>
  </si>
  <si>
    <t>28849 – Faron 2020.pdf</t>
  </si>
  <si>
    <t>28925 – Buch 2022.pdf</t>
  </si>
  <si>
    <t>28973 – Dou 2023.pdf</t>
  </si>
  <si>
    <t>29074 – CruzRivera 2022.pdf</t>
  </si>
  <si>
    <t>29751 – Woodward 2021.pdf</t>
  </si>
  <si>
    <t>31356 – Huang 2025.pdf</t>
  </si>
  <si>
    <t>31386 – Westerheim 2025.pdf</t>
  </si>
  <si>
    <t>31452 – Filteau 2024.pdf</t>
  </si>
  <si>
    <t>31493 – Jian 2025.pdf</t>
  </si>
  <si>
    <t>31843 – Herath 2024.pdf</t>
  </si>
  <si>
    <t>31962 – Bennett 2024.pdf</t>
  </si>
  <si>
    <t>32076 – Jagim 2024.pdf</t>
  </si>
  <si>
    <t>32139 – Ahmadi 2024.pdf</t>
  </si>
  <si>
    <t>32828 – Juby 2023.pdf</t>
  </si>
  <si>
    <t>33162 – Baş 2023.pdf</t>
  </si>
  <si>
    <t>33877 – Velázquez-Alva 2022.pdf</t>
  </si>
  <si>
    <t>34099 – Wang 2022.pdf</t>
  </si>
  <si>
    <t>34383 – vandenHelder 2022.pdf</t>
  </si>
  <si>
    <t>34577 – Bea 2022.pdf</t>
  </si>
  <si>
    <t>34723 – Grover 2022.pdf</t>
  </si>
  <si>
    <t>34733 – vanBeijsterveldt 2022.pdf</t>
  </si>
  <si>
    <t>34950 – Gomez-Perez 2021.pdf</t>
  </si>
  <si>
    <t>35272 – Boykin 2021.pdf</t>
  </si>
  <si>
    <t>35382 – Brewer 2021.pdf</t>
  </si>
  <si>
    <t>35451 – Alavi 2021.pdf</t>
  </si>
  <si>
    <t>35920 – Iyengar 2021.pdf</t>
  </si>
  <si>
    <t>36037 – Cavedon 2020.pdf</t>
  </si>
  <si>
    <t>36086 – Coëffier 2020.pdf</t>
  </si>
  <si>
    <t>36200 – Golja 2020.pdf</t>
  </si>
  <si>
    <t>36265 – Wood 2020.pdf</t>
  </si>
  <si>
    <t>36353 – Bosaeus 2020.pdf</t>
  </si>
  <si>
    <t>36375 – Khan 2020.pdf</t>
  </si>
  <si>
    <t>36499 – Dubey 2020.pdf</t>
  </si>
  <si>
    <t>36542 – Tinsley 2020.pdf</t>
  </si>
  <si>
    <t>36754 – Fang 2020.pdf</t>
  </si>
  <si>
    <t>Check</t>
  </si>
  <si>
    <t>28375 – Corrêa 2021.pdf</t>
  </si>
  <si>
    <t>35479 – Bellafronte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</si>
</sst>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069.471677893518" createdVersion="4" refreshedVersion="4" minRefreshableVersion="3" recordCount="102">
  <cacheSource type="worksheet">
    <worksheetSource ref="A1:B103" sheet="Source"/>
  </cacheSource>
  <cacheFields count="2">
    <cacheField name="Study" numFmtId="0">
      <sharedItems count="77">
        <s v="#28292 – Abbaspour 2021"/>
        <s v="#28140 – Aguirre 2024"/>
        <s v="#32139 – Ahmadi 2024"/>
        <s v="#35451 – Alavi 2021"/>
        <s v="#28059 – Anusitviwat 2023"/>
        <s v="#28270 – Ballesteros-Pomar 2022"/>
        <s v="#28602 – Bärebring 2020"/>
        <s v="#28371 – BarretoSilva 2021"/>
        <s v="#33162 – Baş 2023"/>
        <s v="#34577 – Bea 2022"/>
        <s v="#28305 – Bellafronte 2021"/>
        <s v="#35479 – Bellafronte 2021"/>
        <s v="#28447 – Benjaminsen 2025"/>
        <s v="#31962 – Bennett 2024"/>
        <s v="#28477 – Bongiovanni 2024"/>
        <s v="#36353 – Bosaeus 2020"/>
        <s v="#35272 – Boykin 2021"/>
        <s v="#35382 – Brewer 2021"/>
        <s v="#28925 – Buch 2022"/>
        <s v="#28273 – Cabre 2021"/>
        <s v="#28117 – Campa 2022"/>
        <s v="#28087 – Carey 2023"/>
        <s v="#28366 – Cataldi 2024"/>
        <s v="#36037 – Cavedon 2020"/>
        <s v="#28679 – Chen 2021"/>
        <s v="#28116 – Coëffier 2022"/>
        <s v="#36086 – Coëffier 2020"/>
        <s v="#28466 – Combest 2025"/>
        <s v="#28042 – Contreras-Bolívar 2022"/>
        <s v="#28375 – Corrêa 2021"/>
        <s v="#29074 – CruzRivera 2022"/>
        <s v="#28348 – Dalah 2021"/>
        <s v="#28245 – deAbreu 2020"/>
        <s v="#28973 – Dou 2023"/>
        <s v="#36499 – Dubey 2020"/>
        <s v="#36754 – Fang 2020"/>
        <s v="#28849 – Faron 2020"/>
        <s v="#28401 – Feng 2024"/>
        <s v="#28246 – Fernandez-Del-Valle 2022"/>
        <s v="#31452 – Filteau 2024"/>
        <s v="#28205 – GarrBarry 2022"/>
        <s v="#36200 – Golja 2020"/>
        <s v="#34950 – Gomez-Perez 2021"/>
        <s v="#28614 – Green 2021"/>
        <s v="#34723 – Grover 2022"/>
        <s v="#28628 – Hamilton-James 2021"/>
        <s v="#31843 – Herath 2024"/>
        <s v="#28112 – Herda 2022"/>
        <s v="#28088 – Holmes 2022"/>
        <s v="#31356 – Huang 2025"/>
        <s v="#28223 – Huang 2023"/>
        <s v="#28369 – Hurt 2021"/>
        <s v="#35920 – Iyengar 2021"/>
        <s v="#32076 – Jagim 2024"/>
        <s v="#31493 – Jian 2025"/>
        <s v="#32828 – Juby 2023"/>
        <s v="#36375 – Khan 2020"/>
        <s v="#28139 – Kiefer 2022"/>
        <s v="#28294 – Kracht 2021"/>
        <s v="#28046 – Kroll 2022"/>
        <s v="#28392 – Lahav 2021"/>
        <s v="#28318 – Lai 2022"/>
        <s v="#28150 – Martínez-Ferrán 2023"/>
        <s v="#28056 – Tinsley 2022"/>
        <s v="#28101 – Tinsley 2023"/>
        <s v="#36542 – Tinsley 2020"/>
        <s v="#34733 – vanBeijsterveldt 2022"/>
        <s v="#34383 – vandenHelder 2022"/>
        <s v="#33877 – Velázquez-Alva 2022"/>
        <s v="#28188 – Vermeiren 2021"/>
        <s v="#28163 – vonGraffenried 2021"/>
        <s v="#34099 – Wang 2022"/>
        <s v="#31386 – Westerheim 2025"/>
        <s v="#36265 – Wood 2020"/>
        <s v="#29751 – Woodward 2021"/>
        <s v="#28005 – Yanchis 2023"/>
        <s v="#28214 – Zambone 2020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6069.493880324073" createdVersion="4" refreshedVersion="4" minRefreshableVersion="3" recordCount="103">
  <cacheSource type="worksheet">
    <worksheetSource ref="A1:D1048576" sheet="Structured"/>
  </cacheSource>
  <cacheFields count="4">
    <cacheField name="Number" numFmtId="0">
      <sharedItems containsBlank="1" count="78">
        <s v="28292"/>
        <s v="28140"/>
        <s v="32139"/>
        <s v="35451"/>
        <s v="28059"/>
        <s v="28270"/>
        <s v="28602"/>
        <s v="28371"/>
        <s v="33162"/>
        <s v="34577"/>
        <s v="28305"/>
        <s v="35479"/>
        <s v="28447"/>
        <s v="31962"/>
        <s v="28477"/>
        <s v="36353"/>
        <s v="35272"/>
        <s v="35382"/>
        <s v="28925"/>
        <s v="28273"/>
        <s v="28117"/>
        <s v="28087"/>
        <s v="28366"/>
        <s v="36037"/>
        <s v="28679"/>
        <s v="28116"/>
        <s v="36086"/>
        <s v="28466"/>
        <s v="28042"/>
        <s v="28375"/>
        <s v="29074"/>
        <s v="28348"/>
        <s v="28245"/>
        <s v="28973"/>
        <s v="36499"/>
        <s v="36754"/>
        <s v="28849"/>
        <s v="28401"/>
        <s v="28246"/>
        <s v="31452"/>
        <s v="28205"/>
        <s v="36200"/>
        <s v="34950"/>
        <s v="28614"/>
        <s v="34723"/>
        <s v="28628"/>
        <s v="31843"/>
        <s v="28112"/>
        <s v="28088"/>
        <s v="31356"/>
        <s v="28223"/>
        <s v="28369"/>
        <s v="35920"/>
        <s v="32076"/>
        <s v="31493"/>
        <s v="32828"/>
        <s v="36375"/>
        <s v="28139"/>
        <s v="28294"/>
        <s v="28046"/>
        <s v="28392"/>
        <s v="28318"/>
        <s v="28150"/>
        <s v="28056"/>
        <s v="28101"/>
        <s v="36542"/>
        <s v="34733"/>
        <s v="34383"/>
        <s v="33877"/>
        <s v="28188"/>
        <s v="28163"/>
        <s v="34099"/>
        <s v="31386"/>
        <s v="36265"/>
        <s v="29751"/>
        <s v="28005"/>
        <s v="28214"/>
        <m/>
      </sharedItems>
    </cacheField>
    <cacheField name="YEAR" numFmtId="0">
      <sharedItems containsBlank="1" count="7">
        <s v="2021"/>
        <s v="2024"/>
        <s v="2023"/>
        <s v="2022"/>
        <s v="2020"/>
        <s v="2025"/>
        <m/>
      </sharedItems>
    </cacheField>
    <cacheField name="First Author" numFmtId="0">
      <sharedItems containsBlank="1" count="73">
        <s v="Abbaspour"/>
        <s v="Aguirre"/>
        <s v="Ahmadi"/>
        <s v="Alavi"/>
        <s v="Anusitviwat"/>
        <s v="Ballesteros-Pomar"/>
        <s v="Bärebring"/>
        <s v="BarretoSilva"/>
        <s v="Baş"/>
        <s v="Bea"/>
        <s v="Bellafronte"/>
        <s v="Benjaminsen"/>
        <s v="Bennett"/>
        <s v="Bongiovanni"/>
        <s v="Bosaeus"/>
        <s v="Boykin"/>
        <s v="Brewer"/>
        <s v="Buch"/>
        <s v="Cabre"/>
        <s v="Campa"/>
        <s v="Carey"/>
        <s v="Cataldi"/>
        <s v="Cavedon"/>
        <s v="Chen"/>
        <s v="Coëffier"/>
        <s v="Combest"/>
        <s v="Contreras-Bolívar"/>
        <s v="Corrêa"/>
        <s v="CruzRivera"/>
        <s v="Dalah"/>
        <s v="deAbreu"/>
        <s v="Dou"/>
        <s v="Dubey"/>
        <s v="Fang"/>
        <s v="Faron"/>
        <s v="Feng"/>
        <s v="Fernandez-Del-Valle"/>
        <s v="Filteau"/>
        <s v="GarrBarry"/>
        <s v="Golja"/>
        <s v="Gomez-Perez"/>
        <s v="Green"/>
        <s v="Grover"/>
        <s v="Hamilton-James"/>
        <s v="Herath"/>
        <s v="Herda"/>
        <s v="Holmes"/>
        <s v="Huang"/>
        <s v="Hurt"/>
        <s v="Iyengar"/>
        <s v="Jagim"/>
        <s v="Jian"/>
        <s v="Juby"/>
        <s v="Khan"/>
        <s v="Kiefer"/>
        <s v="Kracht"/>
        <s v="Kroll"/>
        <s v="Lahav"/>
        <s v="Lai"/>
        <s v="Martínez-Ferrán"/>
        <s v="Tinsley"/>
        <s v="vanBeijsterveldt"/>
        <s v="vandenHelder"/>
        <s v="Velázquez-Alva"/>
        <s v="Vermeiren"/>
        <s v="vonGraffenried"/>
        <s v="Wang"/>
        <s v="Westerheim"/>
        <s v="Wood"/>
        <s v="Woodward"/>
        <s v="Yanchis"/>
        <s v="Zambone"/>
        <m/>
      </sharedItems>
    </cacheField>
    <cacheField name="N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3">
  <r>
    <x v="0"/>
    <x v="0"/>
    <x v="0"/>
    <n v="1"/>
  </r>
  <r>
    <x v="1"/>
    <x v="1"/>
    <x v="1"/>
    <n v="1"/>
  </r>
  <r>
    <x v="2"/>
    <x v="1"/>
    <x v="2"/>
    <n v="1"/>
  </r>
  <r>
    <x v="3"/>
    <x v="0"/>
    <x v="3"/>
    <n v="1"/>
  </r>
  <r>
    <x v="4"/>
    <x v="2"/>
    <x v="4"/>
    <n v="1"/>
  </r>
  <r>
    <x v="5"/>
    <x v="3"/>
    <x v="5"/>
    <n v="1"/>
  </r>
  <r>
    <x v="6"/>
    <x v="4"/>
    <x v="6"/>
    <n v="1"/>
  </r>
  <r>
    <x v="7"/>
    <x v="0"/>
    <x v="7"/>
    <n v="1"/>
  </r>
  <r>
    <x v="8"/>
    <x v="2"/>
    <x v="8"/>
    <n v="1"/>
  </r>
  <r>
    <x v="9"/>
    <x v="3"/>
    <x v="9"/>
    <n v="1"/>
  </r>
  <r>
    <x v="10"/>
    <x v="0"/>
    <x v="10"/>
    <n v="1"/>
  </r>
  <r>
    <x v="11"/>
    <x v="0"/>
    <x v="10"/>
    <n v="1"/>
  </r>
  <r>
    <x v="12"/>
    <x v="5"/>
    <x v="11"/>
    <n v="1"/>
  </r>
  <r>
    <x v="13"/>
    <x v="1"/>
    <x v="12"/>
    <n v="1"/>
  </r>
  <r>
    <x v="14"/>
    <x v="1"/>
    <x v="13"/>
    <n v="1"/>
  </r>
  <r>
    <x v="15"/>
    <x v="4"/>
    <x v="14"/>
    <n v="1"/>
  </r>
  <r>
    <x v="16"/>
    <x v="0"/>
    <x v="15"/>
    <n v="1"/>
  </r>
  <r>
    <x v="17"/>
    <x v="0"/>
    <x v="16"/>
    <n v="1"/>
  </r>
  <r>
    <x v="18"/>
    <x v="3"/>
    <x v="17"/>
    <n v="1"/>
  </r>
  <r>
    <x v="19"/>
    <x v="0"/>
    <x v="18"/>
    <n v="1"/>
  </r>
  <r>
    <x v="20"/>
    <x v="3"/>
    <x v="19"/>
    <n v="1"/>
  </r>
  <r>
    <x v="21"/>
    <x v="2"/>
    <x v="20"/>
    <n v="1"/>
  </r>
  <r>
    <x v="22"/>
    <x v="1"/>
    <x v="21"/>
    <n v="1"/>
  </r>
  <r>
    <x v="23"/>
    <x v="4"/>
    <x v="22"/>
    <n v="1"/>
  </r>
  <r>
    <x v="24"/>
    <x v="0"/>
    <x v="23"/>
    <n v="1"/>
  </r>
  <r>
    <x v="25"/>
    <x v="3"/>
    <x v="24"/>
    <n v="1"/>
  </r>
  <r>
    <x v="26"/>
    <x v="4"/>
    <x v="24"/>
    <n v="1"/>
  </r>
  <r>
    <x v="27"/>
    <x v="5"/>
    <x v="25"/>
    <n v="1"/>
  </r>
  <r>
    <x v="28"/>
    <x v="3"/>
    <x v="26"/>
    <n v="1"/>
  </r>
  <r>
    <x v="29"/>
    <x v="0"/>
    <x v="27"/>
    <n v="1"/>
  </r>
  <r>
    <x v="30"/>
    <x v="3"/>
    <x v="28"/>
    <n v="1"/>
  </r>
  <r>
    <x v="31"/>
    <x v="0"/>
    <x v="29"/>
    <n v="1"/>
  </r>
  <r>
    <x v="32"/>
    <x v="4"/>
    <x v="30"/>
    <n v="1"/>
  </r>
  <r>
    <x v="33"/>
    <x v="2"/>
    <x v="31"/>
    <n v="1"/>
  </r>
  <r>
    <x v="34"/>
    <x v="4"/>
    <x v="32"/>
    <n v="1"/>
  </r>
  <r>
    <x v="35"/>
    <x v="4"/>
    <x v="33"/>
    <n v="1"/>
  </r>
  <r>
    <x v="36"/>
    <x v="4"/>
    <x v="34"/>
    <n v="1"/>
  </r>
  <r>
    <x v="37"/>
    <x v="1"/>
    <x v="35"/>
    <n v="1"/>
  </r>
  <r>
    <x v="38"/>
    <x v="3"/>
    <x v="36"/>
    <n v="1"/>
  </r>
  <r>
    <x v="39"/>
    <x v="1"/>
    <x v="37"/>
    <n v="1"/>
  </r>
  <r>
    <x v="40"/>
    <x v="3"/>
    <x v="38"/>
    <n v="1"/>
  </r>
  <r>
    <x v="41"/>
    <x v="4"/>
    <x v="39"/>
    <n v="1"/>
  </r>
  <r>
    <x v="42"/>
    <x v="0"/>
    <x v="40"/>
    <n v="1"/>
  </r>
  <r>
    <x v="43"/>
    <x v="0"/>
    <x v="41"/>
    <n v="1"/>
  </r>
  <r>
    <x v="44"/>
    <x v="3"/>
    <x v="42"/>
    <n v="1"/>
  </r>
  <r>
    <x v="45"/>
    <x v="0"/>
    <x v="43"/>
    <n v="1"/>
  </r>
  <r>
    <x v="46"/>
    <x v="1"/>
    <x v="44"/>
    <n v="1"/>
  </r>
  <r>
    <x v="47"/>
    <x v="3"/>
    <x v="45"/>
    <n v="1"/>
  </r>
  <r>
    <x v="48"/>
    <x v="3"/>
    <x v="46"/>
    <n v="1"/>
  </r>
  <r>
    <x v="49"/>
    <x v="5"/>
    <x v="47"/>
    <n v="1"/>
  </r>
  <r>
    <x v="25"/>
    <x v="3"/>
    <x v="24"/>
    <n v="1"/>
  </r>
  <r>
    <x v="26"/>
    <x v="4"/>
    <x v="24"/>
    <n v="1"/>
  </r>
  <r>
    <x v="27"/>
    <x v="5"/>
    <x v="25"/>
    <n v="1"/>
  </r>
  <r>
    <x v="28"/>
    <x v="3"/>
    <x v="26"/>
    <n v="1"/>
  </r>
  <r>
    <x v="29"/>
    <x v="0"/>
    <x v="27"/>
    <n v="1"/>
  </r>
  <r>
    <x v="30"/>
    <x v="3"/>
    <x v="28"/>
    <n v="1"/>
  </r>
  <r>
    <x v="31"/>
    <x v="0"/>
    <x v="29"/>
    <n v="1"/>
  </r>
  <r>
    <x v="32"/>
    <x v="4"/>
    <x v="30"/>
    <n v="1"/>
  </r>
  <r>
    <x v="33"/>
    <x v="2"/>
    <x v="31"/>
    <n v="1"/>
  </r>
  <r>
    <x v="34"/>
    <x v="4"/>
    <x v="32"/>
    <n v="1"/>
  </r>
  <r>
    <x v="35"/>
    <x v="4"/>
    <x v="33"/>
    <n v="1"/>
  </r>
  <r>
    <x v="36"/>
    <x v="4"/>
    <x v="34"/>
    <n v="1"/>
  </r>
  <r>
    <x v="37"/>
    <x v="1"/>
    <x v="35"/>
    <n v="1"/>
  </r>
  <r>
    <x v="38"/>
    <x v="3"/>
    <x v="36"/>
    <n v="1"/>
  </r>
  <r>
    <x v="39"/>
    <x v="1"/>
    <x v="37"/>
    <n v="1"/>
  </r>
  <r>
    <x v="40"/>
    <x v="3"/>
    <x v="38"/>
    <n v="1"/>
  </r>
  <r>
    <x v="41"/>
    <x v="4"/>
    <x v="39"/>
    <n v="1"/>
  </r>
  <r>
    <x v="42"/>
    <x v="0"/>
    <x v="40"/>
    <n v="1"/>
  </r>
  <r>
    <x v="43"/>
    <x v="0"/>
    <x v="41"/>
    <n v="1"/>
  </r>
  <r>
    <x v="44"/>
    <x v="3"/>
    <x v="42"/>
    <n v="1"/>
  </r>
  <r>
    <x v="45"/>
    <x v="0"/>
    <x v="43"/>
    <n v="1"/>
  </r>
  <r>
    <x v="46"/>
    <x v="1"/>
    <x v="44"/>
    <n v="1"/>
  </r>
  <r>
    <x v="47"/>
    <x v="3"/>
    <x v="45"/>
    <n v="1"/>
  </r>
  <r>
    <x v="48"/>
    <x v="3"/>
    <x v="46"/>
    <n v="1"/>
  </r>
  <r>
    <x v="49"/>
    <x v="5"/>
    <x v="47"/>
    <n v="1"/>
  </r>
  <r>
    <x v="50"/>
    <x v="2"/>
    <x v="47"/>
    <n v="1"/>
  </r>
  <r>
    <x v="51"/>
    <x v="0"/>
    <x v="48"/>
    <n v="1"/>
  </r>
  <r>
    <x v="52"/>
    <x v="0"/>
    <x v="49"/>
    <n v="1"/>
  </r>
  <r>
    <x v="53"/>
    <x v="1"/>
    <x v="50"/>
    <n v="1"/>
  </r>
  <r>
    <x v="54"/>
    <x v="5"/>
    <x v="51"/>
    <n v="1"/>
  </r>
  <r>
    <x v="55"/>
    <x v="2"/>
    <x v="52"/>
    <n v="1"/>
  </r>
  <r>
    <x v="56"/>
    <x v="4"/>
    <x v="53"/>
    <n v="1"/>
  </r>
  <r>
    <x v="57"/>
    <x v="3"/>
    <x v="54"/>
    <n v="1"/>
  </r>
  <r>
    <x v="58"/>
    <x v="0"/>
    <x v="55"/>
    <n v="1"/>
  </r>
  <r>
    <x v="59"/>
    <x v="3"/>
    <x v="56"/>
    <n v="1"/>
  </r>
  <r>
    <x v="60"/>
    <x v="0"/>
    <x v="57"/>
    <n v="1"/>
  </r>
  <r>
    <x v="61"/>
    <x v="3"/>
    <x v="58"/>
    <n v="1"/>
  </r>
  <r>
    <x v="62"/>
    <x v="2"/>
    <x v="59"/>
    <n v="1"/>
  </r>
  <r>
    <x v="63"/>
    <x v="3"/>
    <x v="60"/>
    <n v="1"/>
  </r>
  <r>
    <x v="64"/>
    <x v="2"/>
    <x v="60"/>
    <n v="1"/>
  </r>
  <r>
    <x v="65"/>
    <x v="4"/>
    <x v="60"/>
    <n v="1"/>
  </r>
  <r>
    <x v="66"/>
    <x v="3"/>
    <x v="61"/>
    <n v="1"/>
  </r>
  <r>
    <x v="67"/>
    <x v="3"/>
    <x v="62"/>
    <n v="1"/>
  </r>
  <r>
    <x v="68"/>
    <x v="3"/>
    <x v="63"/>
    <n v="1"/>
  </r>
  <r>
    <x v="69"/>
    <x v="0"/>
    <x v="64"/>
    <n v="1"/>
  </r>
  <r>
    <x v="70"/>
    <x v="0"/>
    <x v="65"/>
    <n v="1"/>
  </r>
  <r>
    <x v="71"/>
    <x v="3"/>
    <x v="66"/>
    <n v="1"/>
  </r>
  <r>
    <x v="72"/>
    <x v="5"/>
    <x v="67"/>
    <n v="1"/>
  </r>
  <r>
    <x v="73"/>
    <x v="4"/>
    <x v="68"/>
    <n v="1"/>
  </r>
  <r>
    <x v="74"/>
    <x v="0"/>
    <x v="69"/>
    <n v="1"/>
  </r>
  <r>
    <x v="75"/>
    <x v="2"/>
    <x v="70"/>
    <n v="1"/>
  </r>
  <r>
    <x v="76"/>
    <x v="4"/>
    <x v="71"/>
    <n v="1"/>
  </r>
  <r>
    <x v="77"/>
    <x v="6"/>
    <x v="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17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81" firstHeaderRow="1" firstDataRow="1" firstDataCol="1"/>
  <pivotFields count="2">
    <pivotField axis="axisRow" showAll="0" sortType="descending">
      <items count="78">
        <item x="75"/>
        <item x="28"/>
        <item x="59"/>
        <item x="63"/>
        <item x="4"/>
        <item x="21"/>
        <item x="48"/>
        <item x="64"/>
        <item x="47"/>
        <item x="25"/>
        <item x="20"/>
        <item x="57"/>
        <item x="1"/>
        <item x="62"/>
        <item x="70"/>
        <item x="69"/>
        <item x="40"/>
        <item x="76"/>
        <item x="50"/>
        <item x="32"/>
        <item x="38"/>
        <item x="5"/>
        <item x="19"/>
        <item x="0"/>
        <item x="58"/>
        <item x="10"/>
        <item x="61"/>
        <item x="31"/>
        <item x="22"/>
        <item x="51"/>
        <item x="7"/>
        <item x="29"/>
        <item x="60"/>
        <item x="37"/>
        <item x="12"/>
        <item x="27"/>
        <item x="14"/>
        <item x="6"/>
        <item x="43"/>
        <item x="45"/>
        <item x="24"/>
        <item x="36"/>
        <item x="18"/>
        <item x="33"/>
        <item x="30"/>
        <item x="74"/>
        <item x="49"/>
        <item x="72"/>
        <item x="39"/>
        <item x="54"/>
        <item x="46"/>
        <item x="13"/>
        <item x="53"/>
        <item x="2"/>
        <item x="55"/>
        <item x="8"/>
        <item x="68"/>
        <item x="71"/>
        <item x="67"/>
        <item x="9"/>
        <item x="44"/>
        <item x="66"/>
        <item x="42"/>
        <item x="16"/>
        <item x="17"/>
        <item x="3"/>
        <item x="11"/>
        <item x="52"/>
        <item x="23"/>
        <item x="26"/>
        <item x="41"/>
        <item x="73"/>
        <item x="15"/>
        <item x="56"/>
        <item x="34"/>
        <item x="6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8">
    <i>
      <x v="44"/>
    </i>
    <i>
      <x v="74"/>
    </i>
    <i>
      <x v="60"/>
    </i>
    <i>
      <x v="1"/>
    </i>
    <i>
      <x v="41"/>
    </i>
    <i>
      <x v="6"/>
    </i>
    <i>
      <x v="48"/>
    </i>
    <i>
      <x v="8"/>
    </i>
    <i>
      <x v="69"/>
    </i>
    <i>
      <x v="9"/>
    </i>
    <i>
      <x v="39"/>
    </i>
    <i>
      <x v="16"/>
    </i>
    <i>
      <x v="43"/>
    </i>
    <i>
      <x v="19"/>
    </i>
    <i>
      <x v="46"/>
    </i>
    <i>
      <x v="20"/>
    </i>
    <i>
      <x v="50"/>
    </i>
    <i>
      <x v="27"/>
    </i>
    <i>
      <x v="62"/>
    </i>
    <i>
      <x v="31"/>
    </i>
    <i>
      <x v="70"/>
    </i>
    <i>
      <x v="33"/>
    </i>
    <i>
      <x v="76"/>
    </i>
    <i>
      <x v="35"/>
    </i>
    <i>
      <x v="38"/>
    </i>
    <i>
      <x v="56"/>
    </i>
    <i>
      <x v="72"/>
    </i>
    <i>
      <x v="64"/>
    </i>
    <i>
      <x v="26"/>
    </i>
    <i>
      <x v="52"/>
    </i>
    <i>
      <x v="3"/>
    </i>
    <i>
      <x v="2"/>
    </i>
    <i>
      <x v="28"/>
    </i>
    <i>
      <x v="68"/>
    </i>
    <i>
      <x v="29"/>
    </i>
    <i>
      <x v="24"/>
    </i>
    <i>
      <x v="30"/>
    </i>
    <i>
      <x v="54"/>
    </i>
    <i>
      <x v="4"/>
    </i>
    <i>
      <x v="58"/>
    </i>
    <i>
      <x v="32"/>
    </i>
    <i>
      <x v="7"/>
    </i>
    <i>
      <x v="10"/>
    </i>
    <i>
      <x v="66"/>
    </i>
    <i>
      <x v="34"/>
    </i>
    <i>
      <x v="22"/>
    </i>
    <i>
      <x v="11"/>
    </i>
    <i>
      <x v="23"/>
    </i>
    <i>
      <x v="36"/>
    </i>
    <i>
      <x v="51"/>
    </i>
    <i>
      <x v="37"/>
    </i>
    <i>
      <x v="53"/>
    </i>
    <i>
      <x/>
    </i>
    <i>
      <x v="55"/>
    </i>
    <i>
      <x v="12"/>
    </i>
    <i>
      <x v="57"/>
    </i>
    <i>
      <x v="40"/>
    </i>
    <i>
      <x v="59"/>
    </i>
    <i>
      <x v="13"/>
    </i>
    <i>
      <x v="61"/>
    </i>
    <i>
      <x v="42"/>
    </i>
    <i>
      <x v="63"/>
    </i>
    <i>
      <x v="14"/>
    </i>
    <i>
      <x v="65"/>
    </i>
    <i>
      <x v="15"/>
    </i>
    <i>
      <x v="67"/>
    </i>
    <i>
      <x v="45"/>
    </i>
    <i>
      <x v="21"/>
    </i>
    <i>
      <x v="5"/>
    </i>
    <i>
      <x v="71"/>
    </i>
    <i>
      <x v="47"/>
    </i>
    <i>
      <x v="73"/>
    </i>
    <i>
      <x v="17"/>
    </i>
    <i>
      <x v="75"/>
    </i>
    <i>
      <x v="49"/>
    </i>
    <i>
      <x v="25"/>
    </i>
    <i>
      <x v="18"/>
    </i>
    <i t="grand">
      <x/>
    </i>
  </rowItems>
  <colItems count="1">
    <i/>
  </colItems>
  <dataFields count="1">
    <dataField name="Количество по полю Count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2" cacheId="18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gridDropZones="1" multipleFieldFilters="0">
  <location ref="A3:D83" firstHeaderRow="2" firstDataRow="2" firstDataCol="3"/>
  <pivotFields count="4">
    <pivotField axis="axisRow" compact="0" outline="0" showAll="0">
      <items count="79">
        <item x="75"/>
        <item x="28"/>
        <item x="59"/>
        <item x="63"/>
        <item x="4"/>
        <item x="21"/>
        <item x="48"/>
        <item x="64"/>
        <item x="47"/>
        <item x="25"/>
        <item x="20"/>
        <item x="57"/>
        <item x="1"/>
        <item x="62"/>
        <item x="70"/>
        <item x="69"/>
        <item x="40"/>
        <item x="76"/>
        <item x="50"/>
        <item x="32"/>
        <item x="38"/>
        <item x="5"/>
        <item x="19"/>
        <item x="0"/>
        <item x="58"/>
        <item x="10"/>
        <item x="61"/>
        <item x="31"/>
        <item x="22"/>
        <item x="51"/>
        <item x="7"/>
        <item x="29"/>
        <item x="60"/>
        <item x="37"/>
        <item x="12"/>
        <item x="27"/>
        <item x="14"/>
        <item x="6"/>
        <item x="43"/>
        <item x="45"/>
        <item x="24"/>
        <item x="36"/>
        <item x="18"/>
        <item x="33"/>
        <item x="30"/>
        <item x="74"/>
        <item x="49"/>
        <item x="72"/>
        <item x="39"/>
        <item x="54"/>
        <item x="46"/>
        <item x="13"/>
        <item x="53"/>
        <item x="2"/>
        <item x="55"/>
        <item x="8"/>
        <item x="68"/>
        <item x="71"/>
        <item x="67"/>
        <item x="9"/>
        <item x="44"/>
        <item x="66"/>
        <item x="42"/>
        <item x="16"/>
        <item x="17"/>
        <item x="3"/>
        <item x="11"/>
        <item x="52"/>
        <item x="23"/>
        <item x="26"/>
        <item x="41"/>
        <item x="73"/>
        <item x="15"/>
        <item x="56"/>
        <item x="34"/>
        <item x="65"/>
        <item x="35"/>
        <item x="77"/>
        <item t="default"/>
      </items>
    </pivotField>
    <pivotField axis="axisRow" compact="0" outline="0" showAll="0" defaultSubtotal="0">
      <items count="7">
        <item x="4"/>
        <item x="0"/>
        <item x="3"/>
        <item x="2"/>
        <item x="1"/>
        <item x="5"/>
        <item x="6"/>
      </items>
    </pivotField>
    <pivotField axis="axisRow" compact="0" outline="0" showAll="0" defaultSubtota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dataField="1" compact="0" outline="0" showAll="0" defaultSubtotal="0"/>
  </pivotFields>
  <rowFields count="3">
    <field x="1"/>
    <field x="2"/>
    <field x="0"/>
  </rowFields>
  <rowItems count="79">
    <i>
      <x/>
      <x v="6"/>
      <x v="37"/>
    </i>
    <i r="1">
      <x v="14"/>
      <x v="72"/>
    </i>
    <i r="1">
      <x v="22"/>
      <x v="68"/>
    </i>
    <i r="1">
      <x v="24"/>
      <x v="69"/>
    </i>
    <i r="1">
      <x v="30"/>
      <x v="19"/>
    </i>
    <i r="1">
      <x v="32"/>
      <x v="74"/>
    </i>
    <i r="1">
      <x v="33"/>
      <x v="76"/>
    </i>
    <i r="1">
      <x v="34"/>
      <x v="41"/>
    </i>
    <i r="1">
      <x v="39"/>
      <x v="70"/>
    </i>
    <i r="1">
      <x v="53"/>
      <x v="73"/>
    </i>
    <i r="1">
      <x v="60"/>
      <x v="75"/>
    </i>
    <i r="1">
      <x v="68"/>
      <x v="71"/>
    </i>
    <i r="1">
      <x v="71"/>
      <x v="17"/>
    </i>
    <i>
      <x v="1"/>
      <x/>
      <x v="23"/>
    </i>
    <i r="1">
      <x v="3"/>
      <x v="65"/>
    </i>
    <i r="1">
      <x v="7"/>
      <x v="30"/>
    </i>
    <i r="1">
      <x v="10"/>
      <x v="25"/>
    </i>
    <i r="2">
      <x v="66"/>
    </i>
    <i r="1">
      <x v="15"/>
      <x v="63"/>
    </i>
    <i r="1">
      <x v="16"/>
      <x v="64"/>
    </i>
    <i r="1">
      <x v="18"/>
      <x v="22"/>
    </i>
    <i r="1">
      <x v="23"/>
      <x v="40"/>
    </i>
    <i r="1">
      <x v="27"/>
      <x v="31"/>
    </i>
    <i r="1">
      <x v="29"/>
      <x v="27"/>
    </i>
    <i r="1">
      <x v="40"/>
      <x v="62"/>
    </i>
    <i r="1">
      <x v="41"/>
      <x v="38"/>
    </i>
    <i r="1">
      <x v="43"/>
      <x v="39"/>
    </i>
    <i r="1">
      <x v="48"/>
      <x v="29"/>
    </i>
    <i r="1">
      <x v="49"/>
      <x v="67"/>
    </i>
    <i r="1">
      <x v="55"/>
      <x v="24"/>
    </i>
    <i r="1">
      <x v="57"/>
      <x v="32"/>
    </i>
    <i r="1">
      <x v="64"/>
      <x v="15"/>
    </i>
    <i r="1">
      <x v="65"/>
      <x v="14"/>
    </i>
    <i r="1">
      <x v="69"/>
      <x v="45"/>
    </i>
    <i>
      <x v="2"/>
      <x v="5"/>
      <x v="21"/>
    </i>
    <i r="1">
      <x v="9"/>
      <x v="59"/>
    </i>
    <i r="1">
      <x v="17"/>
      <x v="42"/>
    </i>
    <i r="1">
      <x v="19"/>
      <x v="10"/>
    </i>
    <i r="1">
      <x v="24"/>
      <x v="9"/>
    </i>
    <i r="1">
      <x v="26"/>
      <x v="1"/>
    </i>
    <i r="1">
      <x v="28"/>
      <x v="44"/>
    </i>
    <i r="1">
      <x v="36"/>
      <x v="20"/>
    </i>
    <i r="1">
      <x v="38"/>
      <x v="16"/>
    </i>
    <i r="1">
      <x v="42"/>
      <x v="60"/>
    </i>
    <i r="1">
      <x v="45"/>
      <x v="8"/>
    </i>
    <i r="1">
      <x v="46"/>
      <x v="6"/>
    </i>
    <i r="1">
      <x v="54"/>
      <x v="11"/>
    </i>
    <i r="1">
      <x v="56"/>
      <x v="2"/>
    </i>
    <i r="1">
      <x v="58"/>
      <x v="26"/>
    </i>
    <i r="1">
      <x v="60"/>
      <x v="3"/>
    </i>
    <i r="1">
      <x v="61"/>
      <x v="61"/>
    </i>
    <i r="1">
      <x v="62"/>
      <x v="58"/>
    </i>
    <i r="1">
      <x v="63"/>
      <x v="56"/>
    </i>
    <i r="1">
      <x v="66"/>
      <x v="57"/>
    </i>
    <i>
      <x v="3"/>
      <x v="4"/>
      <x v="4"/>
    </i>
    <i r="1">
      <x v="8"/>
      <x v="55"/>
    </i>
    <i r="1">
      <x v="20"/>
      <x v="5"/>
    </i>
    <i r="1">
      <x v="31"/>
      <x v="43"/>
    </i>
    <i r="1">
      <x v="47"/>
      <x v="18"/>
    </i>
    <i r="1">
      <x v="52"/>
      <x v="54"/>
    </i>
    <i r="1">
      <x v="59"/>
      <x v="13"/>
    </i>
    <i r="1">
      <x v="60"/>
      <x v="7"/>
    </i>
    <i r="1">
      <x v="70"/>
      <x/>
    </i>
    <i>
      <x v="4"/>
      <x v="1"/>
      <x v="12"/>
    </i>
    <i r="1">
      <x v="2"/>
      <x v="53"/>
    </i>
    <i r="1">
      <x v="12"/>
      <x v="51"/>
    </i>
    <i r="1">
      <x v="13"/>
      <x v="36"/>
    </i>
    <i r="1">
      <x v="21"/>
      <x v="28"/>
    </i>
    <i r="1">
      <x v="35"/>
      <x v="33"/>
    </i>
    <i r="1">
      <x v="37"/>
      <x v="48"/>
    </i>
    <i r="1">
      <x v="44"/>
      <x v="50"/>
    </i>
    <i r="1">
      <x v="50"/>
      <x v="52"/>
    </i>
    <i>
      <x v="5"/>
      <x v="11"/>
      <x v="34"/>
    </i>
    <i r="1">
      <x v="25"/>
      <x v="35"/>
    </i>
    <i r="1">
      <x v="47"/>
      <x v="46"/>
    </i>
    <i r="1">
      <x v="51"/>
      <x v="49"/>
    </i>
    <i r="1">
      <x v="67"/>
      <x v="47"/>
    </i>
    <i>
      <x v="6"/>
      <x v="72"/>
      <x v="77"/>
    </i>
    <i t="grand">
      <x/>
    </i>
  </rowItems>
  <colItems count="1">
    <i/>
  </colItems>
  <dataFields count="1">
    <dataField name="Количество по полю N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1"/>
  <sheetViews>
    <sheetView workbookViewId="0">
      <selection activeCell="B4" sqref="B4"/>
    </sheetView>
  </sheetViews>
  <sheetFormatPr defaultRowHeight="14.4" x14ac:dyDescent="0.3"/>
  <cols>
    <col min="1" max="1" width="30.21875" bestFit="1" customWidth="1"/>
    <col min="2" max="2" width="24.88671875" bestFit="1" customWidth="1"/>
  </cols>
  <sheetData>
    <row r="3" spans="1:2" x14ac:dyDescent="0.3">
      <c r="A3" s="2" t="s">
        <v>79</v>
      </c>
      <c r="B3" t="s">
        <v>81</v>
      </c>
    </row>
    <row r="4" spans="1:2" x14ac:dyDescent="0.3">
      <c r="A4" s="3" t="s">
        <v>30</v>
      </c>
      <c r="B4" s="4">
        <v>2</v>
      </c>
    </row>
    <row r="5" spans="1:2" x14ac:dyDescent="0.3">
      <c r="A5" s="3" t="s">
        <v>34</v>
      </c>
      <c r="B5" s="4">
        <v>2</v>
      </c>
    </row>
    <row r="6" spans="1:2" x14ac:dyDescent="0.3">
      <c r="A6" s="3" t="s">
        <v>44</v>
      </c>
      <c r="B6" s="4">
        <v>2</v>
      </c>
    </row>
    <row r="7" spans="1:2" x14ac:dyDescent="0.3">
      <c r="A7" s="3" t="s">
        <v>28</v>
      </c>
      <c r="B7" s="4">
        <v>2</v>
      </c>
    </row>
    <row r="8" spans="1:2" x14ac:dyDescent="0.3">
      <c r="A8" s="3" t="s">
        <v>36</v>
      </c>
      <c r="B8" s="4">
        <v>2</v>
      </c>
    </row>
    <row r="9" spans="1:2" x14ac:dyDescent="0.3">
      <c r="A9" s="3" t="s">
        <v>48</v>
      </c>
      <c r="B9" s="4">
        <v>2</v>
      </c>
    </row>
    <row r="10" spans="1:2" x14ac:dyDescent="0.3">
      <c r="A10" s="3" t="s">
        <v>39</v>
      </c>
      <c r="B10" s="4">
        <v>2</v>
      </c>
    </row>
    <row r="11" spans="1:2" x14ac:dyDescent="0.3">
      <c r="A11" s="3" t="s">
        <v>47</v>
      </c>
      <c r="B11" s="4">
        <v>2</v>
      </c>
    </row>
    <row r="12" spans="1:2" x14ac:dyDescent="0.3">
      <c r="A12" s="3" t="s">
        <v>26</v>
      </c>
      <c r="B12" s="4">
        <v>2</v>
      </c>
    </row>
    <row r="13" spans="1:2" x14ac:dyDescent="0.3">
      <c r="A13" s="3" t="s">
        <v>25</v>
      </c>
      <c r="B13" s="4">
        <v>2</v>
      </c>
    </row>
    <row r="14" spans="1:2" x14ac:dyDescent="0.3">
      <c r="A14" s="3" t="s">
        <v>45</v>
      </c>
      <c r="B14" s="4">
        <v>2</v>
      </c>
    </row>
    <row r="15" spans="1:2" x14ac:dyDescent="0.3">
      <c r="A15" s="3" t="s">
        <v>40</v>
      </c>
      <c r="B15" s="4">
        <v>2</v>
      </c>
    </row>
    <row r="16" spans="1:2" x14ac:dyDescent="0.3">
      <c r="A16" s="3" t="s">
        <v>33</v>
      </c>
      <c r="B16" s="4">
        <v>2</v>
      </c>
    </row>
    <row r="17" spans="1:2" x14ac:dyDescent="0.3">
      <c r="A17" s="3" t="s">
        <v>32</v>
      </c>
      <c r="B17" s="4">
        <v>2</v>
      </c>
    </row>
    <row r="18" spans="1:2" x14ac:dyDescent="0.3">
      <c r="A18" s="3" t="s">
        <v>49</v>
      </c>
      <c r="B18" s="4">
        <v>2</v>
      </c>
    </row>
    <row r="19" spans="1:2" x14ac:dyDescent="0.3">
      <c r="A19" s="3" t="s">
        <v>38</v>
      </c>
      <c r="B19" s="4">
        <v>2</v>
      </c>
    </row>
    <row r="20" spans="1:2" x14ac:dyDescent="0.3">
      <c r="A20" s="3" t="s">
        <v>46</v>
      </c>
      <c r="B20" s="4">
        <v>2</v>
      </c>
    </row>
    <row r="21" spans="1:2" x14ac:dyDescent="0.3">
      <c r="A21" s="3" t="s">
        <v>31</v>
      </c>
      <c r="B21" s="4">
        <v>2</v>
      </c>
    </row>
    <row r="22" spans="1:2" x14ac:dyDescent="0.3">
      <c r="A22" s="3" t="s">
        <v>42</v>
      </c>
      <c r="B22" s="4">
        <v>2</v>
      </c>
    </row>
    <row r="23" spans="1:2" x14ac:dyDescent="0.3">
      <c r="A23" s="3" t="s">
        <v>29</v>
      </c>
      <c r="B23" s="4">
        <v>2</v>
      </c>
    </row>
    <row r="24" spans="1:2" x14ac:dyDescent="0.3">
      <c r="A24" s="3" t="s">
        <v>41</v>
      </c>
      <c r="B24" s="4">
        <v>2</v>
      </c>
    </row>
    <row r="25" spans="1:2" x14ac:dyDescent="0.3">
      <c r="A25" s="3" t="s">
        <v>37</v>
      </c>
      <c r="B25" s="4">
        <v>2</v>
      </c>
    </row>
    <row r="26" spans="1:2" x14ac:dyDescent="0.3">
      <c r="A26" s="3" t="s">
        <v>35</v>
      </c>
      <c r="B26" s="4">
        <v>2</v>
      </c>
    </row>
    <row r="27" spans="1:2" x14ac:dyDescent="0.3">
      <c r="A27" s="3" t="s">
        <v>27</v>
      </c>
      <c r="B27" s="4">
        <v>2</v>
      </c>
    </row>
    <row r="28" spans="1:2" x14ac:dyDescent="0.3">
      <c r="A28" s="3" t="s">
        <v>43</v>
      </c>
      <c r="B28" s="4">
        <v>2</v>
      </c>
    </row>
    <row r="29" spans="1:2" x14ac:dyDescent="0.3">
      <c r="A29" s="3" t="s">
        <v>68</v>
      </c>
      <c r="B29" s="4">
        <v>1</v>
      </c>
    </row>
    <row r="30" spans="1:2" x14ac:dyDescent="0.3">
      <c r="A30" s="3" t="s">
        <v>15</v>
      </c>
      <c r="B30" s="4">
        <v>1</v>
      </c>
    </row>
    <row r="31" spans="1:2" x14ac:dyDescent="0.3">
      <c r="A31" s="3" t="s">
        <v>17</v>
      </c>
      <c r="B31" s="4">
        <v>1</v>
      </c>
    </row>
    <row r="32" spans="1:2" x14ac:dyDescent="0.3">
      <c r="A32" s="3" t="s">
        <v>61</v>
      </c>
      <c r="B32" s="4">
        <v>1</v>
      </c>
    </row>
    <row r="33" spans="1:2" x14ac:dyDescent="0.3">
      <c r="A33" s="3" t="s">
        <v>53</v>
      </c>
      <c r="B33" s="4">
        <v>1</v>
      </c>
    </row>
    <row r="34" spans="1:2" x14ac:dyDescent="0.3">
      <c r="A34" s="3" t="s">
        <v>63</v>
      </c>
      <c r="B34" s="4">
        <v>1</v>
      </c>
    </row>
    <row r="35" spans="1:2" x14ac:dyDescent="0.3">
      <c r="A35" s="3" t="s">
        <v>59</v>
      </c>
      <c r="B35" s="4">
        <v>1</v>
      </c>
    </row>
    <row r="36" spans="1:2" x14ac:dyDescent="0.3">
      <c r="A36" s="3" t="s">
        <v>22</v>
      </c>
      <c r="B36" s="4">
        <v>1</v>
      </c>
    </row>
    <row r="37" spans="1:2" x14ac:dyDescent="0.3">
      <c r="A37" s="3" t="s">
        <v>23</v>
      </c>
      <c r="B37" s="4">
        <v>1</v>
      </c>
    </row>
    <row r="38" spans="1:2" x14ac:dyDescent="0.3">
      <c r="A38" s="3" t="s">
        <v>51</v>
      </c>
      <c r="B38" s="4">
        <v>1</v>
      </c>
    </row>
    <row r="39" spans="1:2" x14ac:dyDescent="0.3">
      <c r="A39" s="3" t="s">
        <v>58</v>
      </c>
      <c r="B39" s="4">
        <v>1</v>
      </c>
    </row>
    <row r="40" spans="1:2" x14ac:dyDescent="0.3">
      <c r="A40" s="3" t="s">
        <v>7</v>
      </c>
      <c r="B40" s="4">
        <v>1</v>
      </c>
    </row>
    <row r="41" spans="1:2" x14ac:dyDescent="0.3">
      <c r="A41" s="3" t="s">
        <v>55</v>
      </c>
      <c r="B41" s="4">
        <v>1</v>
      </c>
    </row>
    <row r="42" spans="1:2" x14ac:dyDescent="0.3">
      <c r="A42" s="3" t="s">
        <v>4</v>
      </c>
      <c r="B42" s="4">
        <v>1</v>
      </c>
    </row>
    <row r="43" spans="1:2" x14ac:dyDescent="0.3">
      <c r="A43" s="3" t="s">
        <v>67</v>
      </c>
      <c r="B43" s="4">
        <v>1</v>
      </c>
    </row>
    <row r="44" spans="1:2" x14ac:dyDescent="0.3">
      <c r="A44" s="3" t="s">
        <v>60</v>
      </c>
      <c r="B44" s="4">
        <v>1</v>
      </c>
    </row>
    <row r="45" spans="1:2" x14ac:dyDescent="0.3">
      <c r="A45" s="3" t="s">
        <v>64</v>
      </c>
      <c r="B45" s="4">
        <v>1</v>
      </c>
    </row>
    <row r="46" spans="1:2" x14ac:dyDescent="0.3">
      <c r="A46" s="3" t="s">
        <v>20</v>
      </c>
      <c r="B46" s="4">
        <v>1</v>
      </c>
    </row>
    <row r="47" spans="1:2" x14ac:dyDescent="0.3">
      <c r="A47" s="3" t="s">
        <v>11</v>
      </c>
      <c r="B47" s="4">
        <v>1</v>
      </c>
    </row>
    <row r="48" spans="1:2" x14ac:dyDescent="0.3">
      <c r="A48" s="3" t="s">
        <v>12</v>
      </c>
      <c r="B48" s="4">
        <v>1</v>
      </c>
    </row>
    <row r="49" spans="1:2" x14ac:dyDescent="0.3">
      <c r="A49" s="3" t="s">
        <v>19</v>
      </c>
      <c r="B49" s="4">
        <v>1</v>
      </c>
    </row>
    <row r="50" spans="1:2" x14ac:dyDescent="0.3">
      <c r="A50" s="3" t="s">
        <v>57</v>
      </c>
      <c r="B50" s="4">
        <v>1</v>
      </c>
    </row>
    <row r="51" spans="1:2" x14ac:dyDescent="0.3">
      <c r="A51" s="3" t="s">
        <v>0</v>
      </c>
      <c r="B51" s="4">
        <v>1</v>
      </c>
    </row>
    <row r="52" spans="1:2" x14ac:dyDescent="0.3">
      <c r="A52" s="3" t="s">
        <v>14</v>
      </c>
      <c r="B52" s="4">
        <v>1</v>
      </c>
    </row>
    <row r="53" spans="1:2" x14ac:dyDescent="0.3">
      <c r="A53" s="3" t="s">
        <v>13</v>
      </c>
      <c r="B53" s="4">
        <v>1</v>
      </c>
    </row>
    <row r="54" spans="1:2" x14ac:dyDescent="0.3">
      <c r="A54" s="3" t="s">
        <v>6</v>
      </c>
      <c r="B54" s="4">
        <v>1</v>
      </c>
    </row>
    <row r="55" spans="1:2" x14ac:dyDescent="0.3">
      <c r="A55" s="3" t="s">
        <v>2</v>
      </c>
      <c r="B55" s="4">
        <v>1</v>
      </c>
    </row>
    <row r="56" spans="1:2" x14ac:dyDescent="0.3">
      <c r="A56" s="3" t="s">
        <v>75</v>
      </c>
      <c r="B56" s="4">
        <v>1</v>
      </c>
    </row>
    <row r="57" spans="1:2" x14ac:dyDescent="0.3">
      <c r="A57" s="3" t="s">
        <v>8</v>
      </c>
      <c r="B57" s="4">
        <v>1</v>
      </c>
    </row>
    <row r="58" spans="1:2" x14ac:dyDescent="0.3">
      <c r="A58" s="3" t="s">
        <v>1</v>
      </c>
      <c r="B58" s="4">
        <v>1</v>
      </c>
    </row>
    <row r="59" spans="1:2" x14ac:dyDescent="0.3">
      <c r="A59" s="3" t="s">
        <v>71</v>
      </c>
      <c r="B59" s="4">
        <v>1</v>
      </c>
    </row>
    <row r="60" spans="1:2" x14ac:dyDescent="0.3">
      <c r="A60" s="3" t="s">
        <v>24</v>
      </c>
      <c r="B60" s="4">
        <v>1</v>
      </c>
    </row>
    <row r="61" spans="1:2" x14ac:dyDescent="0.3">
      <c r="A61" s="3" t="s">
        <v>9</v>
      </c>
      <c r="B61" s="4">
        <v>1</v>
      </c>
    </row>
    <row r="62" spans="1:2" x14ac:dyDescent="0.3">
      <c r="A62" s="3" t="s">
        <v>62</v>
      </c>
      <c r="B62" s="4">
        <v>1</v>
      </c>
    </row>
    <row r="63" spans="1:2" x14ac:dyDescent="0.3">
      <c r="A63" s="3" t="s">
        <v>66</v>
      </c>
      <c r="B63" s="4">
        <v>1</v>
      </c>
    </row>
    <row r="64" spans="1:2" x14ac:dyDescent="0.3">
      <c r="A64" s="3" t="s">
        <v>18</v>
      </c>
      <c r="B64" s="4">
        <v>1</v>
      </c>
    </row>
    <row r="65" spans="1:2" x14ac:dyDescent="0.3">
      <c r="A65" s="3" t="s">
        <v>16</v>
      </c>
      <c r="B65" s="4">
        <v>1</v>
      </c>
    </row>
    <row r="66" spans="1:2" x14ac:dyDescent="0.3">
      <c r="A66" s="3" t="s">
        <v>70</v>
      </c>
      <c r="B66" s="4">
        <v>1</v>
      </c>
    </row>
    <row r="67" spans="1:2" x14ac:dyDescent="0.3">
      <c r="A67" s="3" t="s">
        <v>3</v>
      </c>
      <c r="B67" s="4">
        <v>1</v>
      </c>
    </row>
    <row r="68" spans="1:2" x14ac:dyDescent="0.3">
      <c r="A68" s="3" t="s">
        <v>69</v>
      </c>
      <c r="B68" s="4">
        <v>1</v>
      </c>
    </row>
    <row r="69" spans="1:2" x14ac:dyDescent="0.3">
      <c r="A69" s="3" t="s">
        <v>52</v>
      </c>
      <c r="B69" s="4">
        <v>1</v>
      </c>
    </row>
    <row r="70" spans="1:2" x14ac:dyDescent="0.3">
      <c r="A70" s="3" t="s">
        <v>74</v>
      </c>
      <c r="B70" s="4">
        <v>1</v>
      </c>
    </row>
    <row r="71" spans="1:2" x14ac:dyDescent="0.3">
      <c r="A71" s="3" t="s">
        <v>5</v>
      </c>
      <c r="B71" s="4">
        <v>1</v>
      </c>
    </row>
    <row r="72" spans="1:2" x14ac:dyDescent="0.3">
      <c r="A72" s="3" t="s">
        <v>21</v>
      </c>
      <c r="B72" s="4">
        <v>1</v>
      </c>
    </row>
    <row r="73" spans="1:2" x14ac:dyDescent="0.3">
      <c r="A73" s="3" t="s">
        <v>73</v>
      </c>
      <c r="B73" s="4">
        <v>1</v>
      </c>
    </row>
    <row r="74" spans="1:2" x14ac:dyDescent="0.3">
      <c r="A74" s="3" t="s">
        <v>72</v>
      </c>
      <c r="B74" s="4">
        <v>1</v>
      </c>
    </row>
    <row r="75" spans="1:2" x14ac:dyDescent="0.3">
      <c r="A75" s="3" t="s">
        <v>56</v>
      </c>
      <c r="B75" s="4">
        <v>1</v>
      </c>
    </row>
    <row r="76" spans="1:2" x14ac:dyDescent="0.3">
      <c r="A76" s="3" t="s">
        <v>76</v>
      </c>
      <c r="B76" s="4">
        <v>1</v>
      </c>
    </row>
    <row r="77" spans="1:2" x14ac:dyDescent="0.3">
      <c r="A77" s="3" t="s">
        <v>65</v>
      </c>
      <c r="B77" s="4">
        <v>1</v>
      </c>
    </row>
    <row r="78" spans="1:2" x14ac:dyDescent="0.3">
      <c r="A78" s="3" t="s">
        <v>54</v>
      </c>
      <c r="B78" s="4">
        <v>1</v>
      </c>
    </row>
    <row r="79" spans="1:2" x14ac:dyDescent="0.3">
      <c r="A79" s="3" t="s">
        <v>10</v>
      </c>
      <c r="B79" s="4">
        <v>1</v>
      </c>
    </row>
    <row r="80" spans="1:2" x14ac:dyDescent="0.3">
      <c r="A80" s="3" t="s">
        <v>50</v>
      </c>
      <c r="B80" s="4">
        <v>1</v>
      </c>
    </row>
    <row r="81" spans="1:2" x14ac:dyDescent="0.3">
      <c r="A81" s="3" t="s">
        <v>80</v>
      </c>
      <c r="B81" s="4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abSelected="1" workbookViewId="0">
      <selection activeCell="A31" sqref="A31"/>
    </sheetView>
  </sheetViews>
  <sheetFormatPr defaultRowHeight="14.4" x14ac:dyDescent="0.3"/>
  <cols>
    <col min="1" max="1" width="30.21875" bestFit="1" customWidth="1"/>
    <col min="8" max="8" width="14.21875" bestFit="1" customWidth="1"/>
    <col min="9" max="9" width="9.6640625" bestFit="1" customWidth="1"/>
    <col min="10" max="10" width="17.5546875" bestFit="1" customWidth="1"/>
  </cols>
  <sheetData>
    <row r="1" spans="1:18" x14ac:dyDescent="0.3">
      <c r="A1" t="s">
        <v>77</v>
      </c>
      <c r="B1" t="s">
        <v>78</v>
      </c>
      <c r="E1" t="s">
        <v>82</v>
      </c>
      <c r="F1" t="s">
        <v>83</v>
      </c>
      <c r="G1" t="s">
        <v>85</v>
      </c>
      <c r="I1" t="s">
        <v>86</v>
      </c>
      <c r="J1" t="s">
        <v>84</v>
      </c>
      <c r="N1" t="s">
        <v>83</v>
      </c>
      <c r="O1" t="s">
        <v>82</v>
      </c>
      <c r="P1" t="s">
        <v>84</v>
      </c>
      <c r="R1" t="s">
        <v>322</v>
      </c>
    </row>
    <row r="2" spans="1:18" x14ac:dyDescent="0.3">
      <c r="A2" s="1" t="s">
        <v>0</v>
      </c>
      <c r="B2">
        <v>1</v>
      </c>
      <c r="E2" t="str">
        <f>RIGHT(A2,4)</f>
        <v>2021</v>
      </c>
      <c r="F2" t="str">
        <f>RIGHT(LEFT(A2,6),5)</f>
        <v>28292</v>
      </c>
      <c r="G2">
        <f>LEN(A2)</f>
        <v>23</v>
      </c>
      <c r="H2" t="str">
        <f>RIGHT(A2,(G2-9))</f>
        <v>Abbaspour 2021</v>
      </c>
      <c r="I2">
        <f>LEN(H2)</f>
        <v>14</v>
      </c>
      <c r="J2" t="str">
        <f>LEFT(H2,(I2-5))</f>
        <v>Abbaspour</v>
      </c>
      <c r="N2" t="s">
        <v>88</v>
      </c>
      <c r="O2" t="s">
        <v>87</v>
      </c>
      <c r="P2" t="s">
        <v>170</v>
      </c>
      <c r="R2" t="str">
        <f>VLOOKUP(N2,dir!B:B,1,0)</f>
        <v>28292</v>
      </c>
    </row>
    <row r="3" spans="1:18" x14ac:dyDescent="0.3">
      <c r="A3" s="1" t="s">
        <v>1</v>
      </c>
      <c r="B3">
        <v>1</v>
      </c>
      <c r="E3" t="str">
        <f t="shared" ref="E3:E66" si="0">RIGHT(A3,4)</f>
        <v>2024</v>
      </c>
      <c r="F3" t="str">
        <f t="shared" ref="F3:F66" si="1">RIGHT(LEFT(A3,6),5)</f>
        <v>28140</v>
      </c>
      <c r="G3">
        <f t="shared" ref="G3:G66" si="2">LEN(A3)</f>
        <v>21</v>
      </c>
      <c r="H3" t="str">
        <f t="shared" ref="H3:H66" si="3">RIGHT(A3,(G3-9))</f>
        <v>Aguirre 2024</v>
      </c>
      <c r="I3">
        <f t="shared" ref="I3:I66" si="4">LEN(H3)</f>
        <v>12</v>
      </c>
      <c r="J3" t="str">
        <f t="shared" ref="J3:J66" si="5">LEFT(H3,(I3-5))</f>
        <v>Aguirre</v>
      </c>
      <c r="N3" t="s">
        <v>90</v>
      </c>
      <c r="O3" t="s">
        <v>89</v>
      </c>
      <c r="P3" t="s">
        <v>171</v>
      </c>
      <c r="R3" t="str">
        <f>VLOOKUP(N3,dir!B:B,1,0)</f>
        <v>28140</v>
      </c>
    </row>
    <row r="4" spans="1:18" x14ac:dyDescent="0.3">
      <c r="A4" t="s">
        <v>2</v>
      </c>
      <c r="B4">
        <v>1</v>
      </c>
      <c r="E4" t="str">
        <f t="shared" si="0"/>
        <v>2024</v>
      </c>
      <c r="F4" t="str">
        <f t="shared" si="1"/>
        <v>32139</v>
      </c>
      <c r="G4">
        <f t="shared" si="2"/>
        <v>20</v>
      </c>
      <c r="H4" t="str">
        <f t="shared" si="3"/>
        <v>Ahmadi 2024</v>
      </c>
      <c r="I4">
        <f t="shared" si="4"/>
        <v>11</v>
      </c>
      <c r="J4" t="str">
        <f t="shared" si="5"/>
        <v>Ahmadi</v>
      </c>
      <c r="N4" t="s">
        <v>91</v>
      </c>
      <c r="O4" t="s">
        <v>89</v>
      </c>
      <c r="P4" t="s">
        <v>172</v>
      </c>
      <c r="R4" t="str">
        <f>VLOOKUP(N4,dir!B:B,1,0)</f>
        <v>32139</v>
      </c>
    </row>
    <row r="5" spans="1:18" x14ac:dyDescent="0.3">
      <c r="A5" t="s">
        <v>3</v>
      </c>
      <c r="B5">
        <v>1</v>
      </c>
      <c r="E5" t="str">
        <f t="shared" si="0"/>
        <v>2021</v>
      </c>
      <c r="F5" t="str">
        <f t="shared" si="1"/>
        <v>35451</v>
      </c>
      <c r="G5">
        <f t="shared" si="2"/>
        <v>19</v>
      </c>
      <c r="H5" t="str">
        <f t="shared" si="3"/>
        <v>Alavi 2021</v>
      </c>
      <c r="I5">
        <f t="shared" si="4"/>
        <v>10</v>
      </c>
      <c r="J5" t="str">
        <f t="shared" si="5"/>
        <v>Alavi</v>
      </c>
      <c r="N5" t="s">
        <v>92</v>
      </c>
      <c r="O5" t="s">
        <v>87</v>
      </c>
      <c r="P5" t="s">
        <v>173</v>
      </c>
      <c r="R5" t="str">
        <f>VLOOKUP(N5,dir!B:B,1,0)</f>
        <v>35451</v>
      </c>
    </row>
    <row r="6" spans="1:18" x14ac:dyDescent="0.3">
      <c r="A6" t="s">
        <v>4</v>
      </c>
      <c r="B6">
        <v>1</v>
      </c>
      <c r="E6" t="str">
        <f t="shared" si="0"/>
        <v>2023</v>
      </c>
      <c r="F6" t="str">
        <f t="shared" si="1"/>
        <v>28059</v>
      </c>
      <c r="G6">
        <f t="shared" si="2"/>
        <v>25</v>
      </c>
      <c r="H6" t="str">
        <f t="shared" si="3"/>
        <v>Anusitviwat 2023</v>
      </c>
      <c r="I6">
        <f t="shared" si="4"/>
        <v>16</v>
      </c>
      <c r="J6" t="str">
        <f t="shared" si="5"/>
        <v>Anusitviwat</v>
      </c>
      <c r="N6" t="s">
        <v>94</v>
      </c>
      <c r="O6" t="s">
        <v>93</v>
      </c>
      <c r="P6" t="s">
        <v>174</v>
      </c>
      <c r="R6" t="str">
        <f>VLOOKUP(N6,dir!B:B,1,0)</f>
        <v>28059</v>
      </c>
    </row>
    <row r="7" spans="1:18" x14ac:dyDescent="0.3">
      <c r="A7" t="s">
        <v>5</v>
      </c>
      <c r="B7">
        <v>1</v>
      </c>
      <c r="E7" t="str">
        <f t="shared" si="0"/>
        <v>2022</v>
      </c>
      <c r="F7" t="str">
        <f t="shared" si="1"/>
        <v>28270</v>
      </c>
      <c r="G7">
        <f t="shared" si="2"/>
        <v>31</v>
      </c>
      <c r="H7" t="str">
        <f t="shared" si="3"/>
        <v>Ballesteros-Pomar 2022</v>
      </c>
      <c r="I7">
        <f t="shared" si="4"/>
        <v>22</v>
      </c>
      <c r="J7" t="str">
        <f t="shared" si="5"/>
        <v>Ballesteros-Pomar</v>
      </c>
      <c r="N7" t="s">
        <v>96</v>
      </c>
      <c r="O7" t="s">
        <v>95</v>
      </c>
      <c r="P7" t="s">
        <v>175</v>
      </c>
      <c r="R7" t="str">
        <f>VLOOKUP(N7,dir!B:B,1,0)</f>
        <v>28270</v>
      </c>
    </row>
    <row r="8" spans="1:18" x14ac:dyDescent="0.3">
      <c r="A8" t="s">
        <v>6</v>
      </c>
      <c r="B8">
        <v>1</v>
      </c>
      <c r="E8" t="str">
        <f t="shared" si="0"/>
        <v>2020</v>
      </c>
      <c r="F8" t="str">
        <f t="shared" si="1"/>
        <v>28602</v>
      </c>
      <c r="G8">
        <f t="shared" si="2"/>
        <v>23</v>
      </c>
      <c r="H8" t="str">
        <f t="shared" si="3"/>
        <v>Bärebring 2020</v>
      </c>
      <c r="I8">
        <f t="shared" si="4"/>
        <v>14</v>
      </c>
      <c r="J8" t="str">
        <f t="shared" si="5"/>
        <v>Bärebring</v>
      </c>
      <c r="N8" t="s">
        <v>98</v>
      </c>
      <c r="O8" t="s">
        <v>97</v>
      </c>
      <c r="P8" t="s">
        <v>176</v>
      </c>
      <c r="R8" t="str">
        <f>VLOOKUP(N8,dir!B:B,1,0)</f>
        <v>28602</v>
      </c>
    </row>
    <row r="9" spans="1:18" x14ac:dyDescent="0.3">
      <c r="A9" t="s">
        <v>7</v>
      </c>
      <c r="B9">
        <v>1</v>
      </c>
      <c r="E9" t="str">
        <f t="shared" si="0"/>
        <v>2021</v>
      </c>
      <c r="F9" t="str">
        <f t="shared" si="1"/>
        <v>28371</v>
      </c>
      <c r="G9">
        <f t="shared" si="2"/>
        <v>26</v>
      </c>
      <c r="H9" t="str">
        <f t="shared" si="3"/>
        <v>BarretoSilva 2021</v>
      </c>
      <c r="I9">
        <f t="shared" si="4"/>
        <v>17</v>
      </c>
      <c r="J9" t="str">
        <f t="shared" si="5"/>
        <v>BarretoSilva</v>
      </c>
      <c r="N9" t="s">
        <v>99</v>
      </c>
      <c r="O9" t="s">
        <v>87</v>
      </c>
      <c r="P9" t="s">
        <v>177</v>
      </c>
      <c r="R9" t="str">
        <f>VLOOKUP(N9,dir!B:B,1,0)</f>
        <v>28371</v>
      </c>
    </row>
    <row r="10" spans="1:18" x14ac:dyDescent="0.3">
      <c r="A10" t="s">
        <v>8</v>
      </c>
      <c r="B10">
        <v>1</v>
      </c>
      <c r="E10" t="str">
        <f t="shared" si="0"/>
        <v>2023</v>
      </c>
      <c r="F10" t="str">
        <f t="shared" si="1"/>
        <v>33162</v>
      </c>
      <c r="G10">
        <f t="shared" si="2"/>
        <v>17</v>
      </c>
      <c r="H10" t="str">
        <f t="shared" si="3"/>
        <v>Baş 2023</v>
      </c>
      <c r="I10">
        <f t="shared" si="4"/>
        <v>8</v>
      </c>
      <c r="J10" t="str">
        <f t="shared" si="5"/>
        <v>Baş</v>
      </c>
      <c r="N10" t="s">
        <v>100</v>
      </c>
      <c r="O10" t="s">
        <v>93</v>
      </c>
      <c r="P10" t="s">
        <v>178</v>
      </c>
      <c r="R10" t="str">
        <f>VLOOKUP(N10,dir!B:B,1,0)</f>
        <v>33162</v>
      </c>
    </row>
    <row r="11" spans="1:18" x14ac:dyDescent="0.3">
      <c r="A11" t="s">
        <v>9</v>
      </c>
      <c r="B11">
        <v>1</v>
      </c>
      <c r="E11" t="str">
        <f t="shared" si="0"/>
        <v>2022</v>
      </c>
      <c r="F11" t="str">
        <f t="shared" si="1"/>
        <v>34577</v>
      </c>
      <c r="G11">
        <f t="shared" si="2"/>
        <v>17</v>
      </c>
      <c r="H11" t="str">
        <f t="shared" si="3"/>
        <v>Bea 2022</v>
      </c>
      <c r="I11">
        <f t="shared" si="4"/>
        <v>8</v>
      </c>
      <c r="J11" t="str">
        <f t="shared" si="5"/>
        <v>Bea</v>
      </c>
      <c r="N11" t="s">
        <v>101</v>
      </c>
      <c r="O11" t="s">
        <v>95</v>
      </c>
      <c r="P11" t="s">
        <v>179</v>
      </c>
      <c r="R11" t="str">
        <f>VLOOKUP(N11,dir!B:B,1,0)</f>
        <v>34577</v>
      </c>
    </row>
    <row r="12" spans="1:18" x14ac:dyDescent="0.3">
      <c r="A12" t="s">
        <v>10</v>
      </c>
      <c r="B12">
        <v>1</v>
      </c>
      <c r="E12" t="str">
        <f t="shared" si="0"/>
        <v>2021</v>
      </c>
      <c r="F12" t="str">
        <f t="shared" si="1"/>
        <v>28305</v>
      </c>
      <c r="G12">
        <f t="shared" si="2"/>
        <v>25</v>
      </c>
      <c r="H12" t="str">
        <f t="shared" si="3"/>
        <v>Bellafronte 2021</v>
      </c>
      <c r="I12">
        <f t="shared" si="4"/>
        <v>16</v>
      </c>
      <c r="J12" t="str">
        <f t="shared" si="5"/>
        <v>Bellafronte</v>
      </c>
      <c r="N12" t="s">
        <v>102</v>
      </c>
      <c r="O12" t="s">
        <v>87</v>
      </c>
      <c r="P12" t="s">
        <v>180</v>
      </c>
      <c r="R12" t="str">
        <f>VLOOKUP(N12,dir!B:B,1,0)</f>
        <v>28305</v>
      </c>
    </row>
    <row r="13" spans="1:18" x14ac:dyDescent="0.3">
      <c r="A13" t="s">
        <v>11</v>
      </c>
      <c r="B13">
        <v>1</v>
      </c>
      <c r="E13" t="str">
        <f t="shared" si="0"/>
        <v>2021</v>
      </c>
      <c r="F13" t="str">
        <f t="shared" si="1"/>
        <v>35479</v>
      </c>
      <c r="G13">
        <f t="shared" si="2"/>
        <v>25</v>
      </c>
      <c r="H13" t="str">
        <f t="shared" si="3"/>
        <v>Bellafronte 2021</v>
      </c>
      <c r="I13">
        <f t="shared" si="4"/>
        <v>16</v>
      </c>
      <c r="J13" t="str">
        <f t="shared" si="5"/>
        <v>Bellafronte</v>
      </c>
      <c r="N13" t="s">
        <v>103</v>
      </c>
      <c r="O13" t="s">
        <v>87</v>
      </c>
      <c r="P13" t="s">
        <v>180</v>
      </c>
      <c r="R13" t="str">
        <f>VLOOKUP(N13,dir!B:B,1,0)</f>
        <v>35479</v>
      </c>
    </row>
    <row r="14" spans="1:18" x14ac:dyDescent="0.3">
      <c r="A14" t="s">
        <v>12</v>
      </c>
      <c r="B14">
        <v>1</v>
      </c>
      <c r="E14" t="str">
        <f t="shared" si="0"/>
        <v>2025</v>
      </c>
      <c r="F14" t="str">
        <f t="shared" si="1"/>
        <v>28447</v>
      </c>
      <c r="G14">
        <f t="shared" si="2"/>
        <v>25</v>
      </c>
      <c r="H14" t="str">
        <f t="shared" si="3"/>
        <v>Benjaminsen 2025</v>
      </c>
      <c r="I14">
        <f t="shared" si="4"/>
        <v>16</v>
      </c>
      <c r="J14" t="str">
        <f t="shared" si="5"/>
        <v>Benjaminsen</v>
      </c>
      <c r="N14" t="s">
        <v>105</v>
      </c>
      <c r="O14" t="s">
        <v>104</v>
      </c>
      <c r="P14" t="s">
        <v>181</v>
      </c>
      <c r="R14" t="str">
        <f>VLOOKUP(N14,dir!B:B,1,0)</f>
        <v>28447</v>
      </c>
    </row>
    <row r="15" spans="1:18" x14ac:dyDescent="0.3">
      <c r="A15" s="1" t="s">
        <v>13</v>
      </c>
      <c r="B15">
        <v>1</v>
      </c>
      <c r="E15" t="str">
        <f t="shared" si="0"/>
        <v>2024</v>
      </c>
      <c r="F15" t="str">
        <f t="shared" si="1"/>
        <v>31962</v>
      </c>
      <c r="G15">
        <f t="shared" si="2"/>
        <v>21</v>
      </c>
      <c r="H15" t="str">
        <f t="shared" si="3"/>
        <v>Bennett 2024</v>
      </c>
      <c r="I15">
        <f t="shared" si="4"/>
        <v>12</v>
      </c>
      <c r="J15" t="str">
        <f t="shared" si="5"/>
        <v>Bennett</v>
      </c>
      <c r="N15" t="s">
        <v>106</v>
      </c>
      <c r="O15" t="s">
        <v>89</v>
      </c>
      <c r="P15" t="s">
        <v>182</v>
      </c>
      <c r="R15" t="str">
        <f>VLOOKUP(N15,dir!B:B,1,0)</f>
        <v>31962</v>
      </c>
    </row>
    <row r="16" spans="1:18" x14ac:dyDescent="0.3">
      <c r="A16" t="s">
        <v>14</v>
      </c>
      <c r="B16">
        <v>1</v>
      </c>
      <c r="E16" t="str">
        <f t="shared" si="0"/>
        <v>2024</v>
      </c>
      <c r="F16" t="str">
        <f t="shared" si="1"/>
        <v>28477</v>
      </c>
      <c r="G16">
        <f t="shared" si="2"/>
        <v>25</v>
      </c>
      <c r="H16" t="str">
        <f t="shared" si="3"/>
        <v>Bongiovanni 2024</v>
      </c>
      <c r="I16">
        <f t="shared" si="4"/>
        <v>16</v>
      </c>
      <c r="J16" t="str">
        <f t="shared" si="5"/>
        <v>Bongiovanni</v>
      </c>
      <c r="N16" t="s">
        <v>107</v>
      </c>
      <c r="O16" t="s">
        <v>89</v>
      </c>
      <c r="P16" t="s">
        <v>183</v>
      </c>
      <c r="R16" t="str">
        <f>VLOOKUP(N16,dir!B:B,1,0)</f>
        <v>28477</v>
      </c>
    </row>
    <row r="17" spans="1:18" x14ac:dyDescent="0.3">
      <c r="A17" t="s">
        <v>15</v>
      </c>
      <c r="B17">
        <v>1</v>
      </c>
      <c r="E17" t="str">
        <f t="shared" si="0"/>
        <v>2020</v>
      </c>
      <c r="F17" t="str">
        <f t="shared" si="1"/>
        <v>36353</v>
      </c>
      <c r="G17">
        <f t="shared" si="2"/>
        <v>21</v>
      </c>
      <c r="H17" t="str">
        <f t="shared" si="3"/>
        <v>Bosaeus 2020</v>
      </c>
      <c r="I17">
        <f t="shared" si="4"/>
        <v>12</v>
      </c>
      <c r="J17" t="str">
        <f t="shared" si="5"/>
        <v>Bosaeus</v>
      </c>
      <c r="N17" t="s">
        <v>108</v>
      </c>
      <c r="O17" t="s">
        <v>97</v>
      </c>
      <c r="P17" t="s">
        <v>184</v>
      </c>
      <c r="R17" t="str">
        <f>VLOOKUP(N17,dir!B:B,1,0)</f>
        <v>36353</v>
      </c>
    </row>
    <row r="18" spans="1:18" x14ac:dyDescent="0.3">
      <c r="A18" t="s">
        <v>16</v>
      </c>
      <c r="B18">
        <v>1</v>
      </c>
      <c r="E18" t="str">
        <f t="shared" si="0"/>
        <v>2021</v>
      </c>
      <c r="F18" t="str">
        <f t="shared" si="1"/>
        <v>35272</v>
      </c>
      <c r="G18">
        <f t="shared" si="2"/>
        <v>20</v>
      </c>
      <c r="H18" t="str">
        <f t="shared" si="3"/>
        <v>Boykin 2021</v>
      </c>
      <c r="I18">
        <f t="shared" si="4"/>
        <v>11</v>
      </c>
      <c r="J18" t="str">
        <f t="shared" si="5"/>
        <v>Boykin</v>
      </c>
      <c r="N18" t="s">
        <v>109</v>
      </c>
      <c r="O18" t="s">
        <v>87</v>
      </c>
      <c r="P18" t="s">
        <v>185</v>
      </c>
      <c r="R18" t="str">
        <f>VLOOKUP(N18,dir!B:B,1,0)</f>
        <v>35272</v>
      </c>
    </row>
    <row r="19" spans="1:18" x14ac:dyDescent="0.3">
      <c r="A19" t="s">
        <v>17</v>
      </c>
      <c r="B19">
        <v>1</v>
      </c>
      <c r="E19" t="str">
        <f t="shared" si="0"/>
        <v>2021</v>
      </c>
      <c r="F19" t="str">
        <f t="shared" si="1"/>
        <v>35382</v>
      </c>
      <c r="G19">
        <f t="shared" si="2"/>
        <v>20</v>
      </c>
      <c r="H19" t="str">
        <f t="shared" si="3"/>
        <v>Brewer 2021</v>
      </c>
      <c r="I19">
        <f t="shared" si="4"/>
        <v>11</v>
      </c>
      <c r="J19" t="str">
        <f t="shared" si="5"/>
        <v>Brewer</v>
      </c>
      <c r="N19" t="s">
        <v>110</v>
      </c>
      <c r="O19" t="s">
        <v>87</v>
      </c>
      <c r="P19" t="s">
        <v>186</v>
      </c>
      <c r="R19" t="str">
        <f>VLOOKUP(N19,dir!B:B,1,0)</f>
        <v>35382</v>
      </c>
    </row>
    <row r="20" spans="1:18" x14ac:dyDescent="0.3">
      <c r="A20" t="s">
        <v>18</v>
      </c>
      <c r="B20">
        <v>1</v>
      </c>
      <c r="E20" t="str">
        <f t="shared" si="0"/>
        <v>2022</v>
      </c>
      <c r="F20" t="str">
        <f t="shared" si="1"/>
        <v>28925</v>
      </c>
      <c r="G20">
        <f t="shared" si="2"/>
        <v>18</v>
      </c>
      <c r="H20" t="str">
        <f t="shared" si="3"/>
        <v>Buch 2022</v>
      </c>
      <c r="I20">
        <f t="shared" si="4"/>
        <v>9</v>
      </c>
      <c r="J20" t="str">
        <f t="shared" si="5"/>
        <v>Buch</v>
      </c>
      <c r="N20" t="s">
        <v>111</v>
      </c>
      <c r="O20" t="s">
        <v>95</v>
      </c>
      <c r="P20" t="s">
        <v>187</v>
      </c>
      <c r="R20" t="str">
        <f>VLOOKUP(N20,dir!B:B,1,0)</f>
        <v>28925</v>
      </c>
    </row>
    <row r="21" spans="1:18" x14ac:dyDescent="0.3">
      <c r="A21" t="s">
        <v>19</v>
      </c>
      <c r="B21">
        <v>1</v>
      </c>
      <c r="E21" t="str">
        <f t="shared" si="0"/>
        <v>2021</v>
      </c>
      <c r="F21" t="str">
        <f t="shared" si="1"/>
        <v>28273</v>
      </c>
      <c r="G21">
        <f t="shared" si="2"/>
        <v>19</v>
      </c>
      <c r="H21" t="str">
        <f t="shared" si="3"/>
        <v>Cabre 2021</v>
      </c>
      <c r="I21">
        <f t="shared" si="4"/>
        <v>10</v>
      </c>
      <c r="J21" t="str">
        <f t="shared" si="5"/>
        <v>Cabre</v>
      </c>
      <c r="N21" t="s">
        <v>112</v>
      </c>
      <c r="O21" t="s">
        <v>87</v>
      </c>
      <c r="P21" t="s">
        <v>188</v>
      </c>
      <c r="R21" t="str">
        <f>VLOOKUP(N21,dir!B:B,1,0)</f>
        <v>28273</v>
      </c>
    </row>
    <row r="22" spans="1:18" x14ac:dyDescent="0.3">
      <c r="A22" t="s">
        <v>20</v>
      </c>
      <c r="B22">
        <v>1</v>
      </c>
      <c r="E22" t="str">
        <f t="shared" si="0"/>
        <v>2022</v>
      </c>
      <c r="F22" t="str">
        <f t="shared" si="1"/>
        <v>28117</v>
      </c>
      <c r="G22">
        <f t="shared" si="2"/>
        <v>19</v>
      </c>
      <c r="H22" t="str">
        <f t="shared" si="3"/>
        <v>Campa 2022</v>
      </c>
      <c r="I22">
        <f t="shared" si="4"/>
        <v>10</v>
      </c>
      <c r="J22" t="str">
        <f t="shared" si="5"/>
        <v>Campa</v>
      </c>
      <c r="N22" t="s">
        <v>113</v>
      </c>
      <c r="O22" t="s">
        <v>95</v>
      </c>
      <c r="P22" t="s">
        <v>189</v>
      </c>
      <c r="R22" t="str">
        <f>VLOOKUP(N22,dir!B:B,1,0)</f>
        <v>28117</v>
      </c>
    </row>
    <row r="23" spans="1:18" x14ac:dyDescent="0.3">
      <c r="A23" t="s">
        <v>21</v>
      </c>
      <c r="B23">
        <v>1</v>
      </c>
      <c r="E23" t="str">
        <f t="shared" si="0"/>
        <v>2023</v>
      </c>
      <c r="F23" t="str">
        <f t="shared" si="1"/>
        <v>28087</v>
      </c>
      <c r="G23">
        <f t="shared" si="2"/>
        <v>19</v>
      </c>
      <c r="H23" t="str">
        <f t="shared" si="3"/>
        <v>Carey 2023</v>
      </c>
      <c r="I23">
        <f t="shared" si="4"/>
        <v>10</v>
      </c>
      <c r="J23" t="str">
        <f t="shared" si="5"/>
        <v>Carey</v>
      </c>
      <c r="N23" t="s">
        <v>114</v>
      </c>
      <c r="O23" t="s">
        <v>93</v>
      </c>
      <c r="P23" t="s">
        <v>190</v>
      </c>
      <c r="R23" t="str">
        <f>VLOOKUP(N23,dir!B:B,1,0)</f>
        <v>28087</v>
      </c>
    </row>
    <row r="24" spans="1:18" x14ac:dyDescent="0.3">
      <c r="A24" t="s">
        <v>22</v>
      </c>
      <c r="B24">
        <v>1</v>
      </c>
      <c r="E24" t="str">
        <f t="shared" si="0"/>
        <v>2024</v>
      </c>
      <c r="F24" t="str">
        <f t="shared" si="1"/>
        <v>28366</v>
      </c>
      <c r="G24">
        <f t="shared" si="2"/>
        <v>21</v>
      </c>
      <c r="H24" t="str">
        <f t="shared" si="3"/>
        <v>Cataldi 2024</v>
      </c>
      <c r="I24">
        <f t="shared" si="4"/>
        <v>12</v>
      </c>
      <c r="J24" t="str">
        <f t="shared" si="5"/>
        <v>Cataldi</v>
      </c>
      <c r="N24" t="s">
        <v>115</v>
      </c>
      <c r="O24" t="s">
        <v>89</v>
      </c>
      <c r="P24" t="s">
        <v>191</v>
      </c>
      <c r="R24" t="str">
        <f>VLOOKUP(N24,dir!B:B,1,0)</f>
        <v>28366</v>
      </c>
    </row>
    <row r="25" spans="1:18" x14ac:dyDescent="0.3">
      <c r="A25" t="s">
        <v>23</v>
      </c>
      <c r="B25">
        <v>1</v>
      </c>
      <c r="E25" t="str">
        <f t="shared" si="0"/>
        <v>2020</v>
      </c>
      <c r="F25" t="str">
        <f t="shared" si="1"/>
        <v>36037</v>
      </c>
      <c r="G25">
        <f t="shared" si="2"/>
        <v>21</v>
      </c>
      <c r="H25" t="str">
        <f t="shared" si="3"/>
        <v>Cavedon 2020</v>
      </c>
      <c r="I25">
        <f t="shared" si="4"/>
        <v>12</v>
      </c>
      <c r="J25" t="str">
        <f t="shared" si="5"/>
        <v>Cavedon</v>
      </c>
      <c r="N25" t="s">
        <v>116</v>
      </c>
      <c r="O25" t="s">
        <v>97</v>
      </c>
      <c r="P25" t="s">
        <v>192</v>
      </c>
      <c r="R25" t="str">
        <f>VLOOKUP(N25,dir!B:B,1,0)</f>
        <v>36037</v>
      </c>
    </row>
    <row r="26" spans="1:18" x14ac:dyDescent="0.3">
      <c r="A26" t="s">
        <v>24</v>
      </c>
      <c r="B26">
        <v>1</v>
      </c>
      <c r="E26" t="str">
        <f t="shared" si="0"/>
        <v>2021</v>
      </c>
      <c r="F26" t="str">
        <f t="shared" si="1"/>
        <v>28679</v>
      </c>
      <c r="G26">
        <f t="shared" si="2"/>
        <v>18</v>
      </c>
      <c r="H26" t="str">
        <f t="shared" si="3"/>
        <v>Chen 2021</v>
      </c>
      <c r="I26">
        <f t="shared" si="4"/>
        <v>9</v>
      </c>
      <c r="J26" t="str">
        <f t="shared" si="5"/>
        <v>Chen</v>
      </c>
      <c r="N26" t="s">
        <v>117</v>
      </c>
      <c r="O26" t="s">
        <v>87</v>
      </c>
      <c r="P26" t="s">
        <v>193</v>
      </c>
      <c r="R26" t="str">
        <f>VLOOKUP(N26,dir!B:B,1,0)</f>
        <v>28679</v>
      </c>
    </row>
    <row r="27" spans="1:18" x14ac:dyDescent="0.3">
      <c r="A27" t="s">
        <v>25</v>
      </c>
      <c r="B27">
        <v>1</v>
      </c>
      <c r="E27" t="str">
        <f t="shared" si="0"/>
        <v>2022</v>
      </c>
      <c r="F27" t="str">
        <f t="shared" si="1"/>
        <v>28116</v>
      </c>
      <c r="G27">
        <f t="shared" si="2"/>
        <v>22</v>
      </c>
      <c r="H27" t="str">
        <f t="shared" si="3"/>
        <v>Coëffier 2022</v>
      </c>
      <c r="I27">
        <f t="shared" si="4"/>
        <v>13</v>
      </c>
      <c r="J27" t="str">
        <f t="shared" si="5"/>
        <v>Coëffier</v>
      </c>
      <c r="N27" t="s">
        <v>118</v>
      </c>
      <c r="O27" t="s">
        <v>95</v>
      </c>
      <c r="P27" t="s">
        <v>194</v>
      </c>
      <c r="R27" t="str">
        <f>VLOOKUP(N27,dir!B:B,1,0)</f>
        <v>28116</v>
      </c>
    </row>
    <row r="28" spans="1:18" x14ac:dyDescent="0.3">
      <c r="A28" t="s">
        <v>26</v>
      </c>
      <c r="B28">
        <v>1</v>
      </c>
      <c r="E28" t="str">
        <f t="shared" si="0"/>
        <v>2020</v>
      </c>
      <c r="F28" t="str">
        <f t="shared" si="1"/>
        <v>36086</v>
      </c>
      <c r="G28">
        <f t="shared" si="2"/>
        <v>22</v>
      </c>
      <c r="H28" t="str">
        <f t="shared" si="3"/>
        <v>Coëffier 2020</v>
      </c>
      <c r="I28">
        <f t="shared" si="4"/>
        <v>13</v>
      </c>
      <c r="J28" t="str">
        <f t="shared" si="5"/>
        <v>Coëffier</v>
      </c>
      <c r="N28" t="s">
        <v>119</v>
      </c>
      <c r="O28" t="s">
        <v>97</v>
      </c>
      <c r="P28" t="s">
        <v>194</v>
      </c>
      <c r="R28" t="str">
        <f>VLOOKUP(N28,dir!B:B,1,0)</f>
        <v>36086</v>
      </c>
    </row>
    <row r="29" spans="1:18" x14ac:dyDescent="0.3">
      <c r="A29" t="s">
        <v>27</v>
      </c>
      <c r="B29">
        <v>1</v>
      </c>
      <c r="E29" t="str">
        <f t="shared" si="0"/>
        <v>2025</v>
      </c>
      <c r="F29" t="str">
        <f t="shared" si="1"/>
        <v>28466</v>
      </c>
      <c r="G29">
        <f t="shared" si="2"/>
        <v>21</v>
      </c>
      <c r="H29" t="str">
        <f t="shared" si="3"/>
        <v>Combest 2025</v>
      </c>
      <c r="I29">
        <f t="shared" si="4"/>
        <v>12</v>
      </c>
      <c r="J29" t="str">
        <f t="shared" si="5"/>
        <v>Combest</v>
      </c>
      <c r="N29" t="s">
        <v>120</v>
      </c>
      <c r="O29" t="s">
        <v>104</v>
      </c>
      <c r="P29" t="s">
        <v>195</v>
      </c>
      <c r="R29" t="str">
        <f>VLOOKUP(N29,dir!B:B,1,0)</f>
        <v>28466</v>
      </c>
    </row>
    <row r="30" spans="1:18" x14ac:dyDescent="0.3">
      <c r="A30" t="s">
        <v>28</v>
      </c>
      <c r="B30">
        <v>1</v>
      </c>
      <c r="E30" t="str">
        <f t="shared" si="0"/>
        <v>2022</v>
      </c>
      <c r="F30" t="str">
        <f t="shared" si="1"/>
        <v>28042</v>
      </c>
      <c r="G30">
        <f t="shared" si="2"/>
        <v>31</v>
      </c>
      <c r="H30" t="str">
        <f t="shared" si="3"/>
        <v>Contreras-Bolívar 2022</v>
      </c>
      <c r="I30">
        <f t="shared" si="4"/>
        <v>22</v>
      </c>
      <c r="J30" t="str">
        <f t="shared" si="5"/>
        <v>Contreras-Bolívar</v>
      </c>
      <c r="N30" t="s">
        <v>121</v>
      </c>
      <c r="O30" t="s">
        <v>95</v>
      </c>
      <c r="P30" t="s">
        <v>196</v>
      </c>
      <c r="R30" t="str">
        <f>VLOOKUP(N30,dir!B:B,1,0)</f>
        <v>28042</v>
      </c>
    </row>
    <row r="31" spans="1:18" x14ac:dyDescent="0.3">
      <c r="A31" t="s">
        <v>29</v>
      </c>
      <c r="B31">
        <v>1</v>
      </c>
      <c r="E31" t="str">
        <f t="shared" si="0"/>
        <v>2021</v>
      </c>
      <c r="F31" t="str">
        <f t="shared" si="1"/>
        <v>28375</v>
      </c>
      <c r="G31">
        <f t="shared" si="2"/>
        <v>20</v>
      </c>
      <c r="H31" t="str">
        <f t="shared" si="3"/>
        <v>Corrêa 2021</v>
      </c>
      <c r="I31">
        <f t="shared" si="4"/>
        <v>11</v>
      </c>
      <c r="J31" t="str">
        <f t="shared" si="5"/>
        <v>Corrêa</v>
      </c>
      <c r="N31" t="s">
        <v>122</v>
      </c>
      <c r="O31" t="s">
        <v>87</v>
      </c>
      <c r="P31" t="s">
        <v>197</v>
      </c>
      <c r="R31" t="str">
        <f>VLOOKUP(N31,dir!B:B,1,0)</f>
        <v>28375</v>
      </c>
    </row>
    <row r="32" spans="1:18" x14ac:dyDescent="0.3">
      <c r="A32" t="s">
        <v>30</v>
      </c>
      <c r="B32">
        <v>1</v>
      </c>
      <c r="E32" t="str">
        <f t="shared" si="0"/>
        <v>2022</v>
      </c>
      <c r="F32" t="str">
        <f t="shared" si="1"/>
        <v>29074</v>
      </c>
      <c r="G32">
        <f t="shared" si="2"/>
        <v>24</v>
      </c>
      <c r="H32" t="str">
        <f t="shared" si="3"/>
        <v>CruzRivera 2022</v>
      </c>
      <c r="I32">
        <f t="shared" si="4"/>
        <v>15</v>
      </c>
      <c r="J32" t="str">
        <f t="shared" si="5"/>
        <v>CruzRivera</v>
      </c>
      <c r="N32" t="s">
        <v>123</v>
      </c>
      <c r="O32" t="s">
        <v>95</v>
      </c>
      <c r="P32" t="s">
        <v>198</v>
      </c>
      <c r="R32" t="str">
        <f>VLOOKUP(N32,dir!B:B,1,0)</f>
        <v>29074</v>
      </c>
    </row>
    <row r="33" spans="1:18" x14ac:dyDescent="0.3">
      <c r="A33" t="s">
        <v>31</v>
      </c>
      <c r="B33">
        <v>1</v>
      </c>
      <c r="E33" t="str">
        <f t="shared" si="0"/>
        <v>2021</v>
      </c>
      <c r="F33" t="str">
        <f t="shared" si="1"/>
        <v>28348</v>
      </c>
      <c r="G33">
        <f t="shared" si="2"/>
        <v>19</v>
      </c>
      <c r="H33" t="str">
        <f t="shared" si="3"/>
        <v>Dalah 2021</v>
      </c>
      <c r="I33">
        <f t="shared" si="4"/>
        <v>10</v>
      </c>
      <c r="J33" t="str">
        <f t="shared" si="5"/>
        <v>Dalah</v>
      </c>
      <c r="N33" t="s">
        <v>124</v>
      </c>
      <c r="O33" t="s">
        <v>87</v>
      </c>
      <c r="P33" t="s">
        <v>199</v>
      </c>
      <c r="R33" t="str">
        <f>VLOOKUP(N33,dir!B:B,1,0)</f>
        <v>28348</v>
      </c>
    </row>
    <row r="34" spans="1:18" x14ac:dyDescent="0.3">
      <c r="A34" t="s">
        <v>32</v>
      </c>
      <c r="B34">
        <v>1</v>
      </c>
      <c r="E34" t="str">
        <f t="shared" si="0"/>
        <v>2020</v>
      </c>
      <c r="F34" t="str">
        <f t="shared" si="1"/>
        <v>28245</v>
      </c>
      <c r="G34">
        <f t="shared" si="2"/>
        <v>21</v>
      </c>
      <c r="H34" t="str">
        <f t="shared" si="3"/>
        <v>deAbreu 2020</v>
      </c>
      <c r="I34">
        <f t="shared" si="4"/>
        <v>12</v>
      </c>
      <c r="J34" t="str">
        <f t="shared" si="5"/>
        <v>deAbreu</v>
      </c>
      <c r="N34" t="s">
        <v>125</v>
      </c>
      <c r="O34" t="s">
        <v>97</v>
      </c>
      <c r="P34" t="s">
        <v>200</v>
      </c>
      <c r="R34" t="str">
        <f>VLOOKUP(N34,dir!B:B,1,0)</f>
        <v>28245</v>
      </c>
    </row>
    <row r="35" spans="1:18" x14ac:dyDescent="0.3">
      <c r="A35" t="s">
        <v>33</v>
      </c>
      <c r="B35">
        <v>1</v>
      </c>
      <c r="E35" t="str">
        <f t="shared" si="0"/>
        <v>2023</v>
      </c>
      <c r="F35" t="str">
        <f t="shared" si="1"/>
        <v>28973</v>
      </c>
      <c r="G35">
        <f t="shared" si="2"/>
        <v>17</v>
      </c>
      <c r="H35" t="str">
        <f t="shared" si="3"/>
        <v>Dou 2023</v>
      </c>
      <c r="I35">
        <f t="shared" si="4"/>
        <v>8</v>
      </c>
      <c r="J35" t="str">
        <f t="shared" si="5"/>
        <v>Dou</v>
      </c>
      <c r="N35" t="s">
        <v>126</v>
      </c>
      <c r="O35" t="s">
        <v>93</v>
      </c>
      <c r="P35" t="s">
        <v>201</v>
      </c>
      <c r="R35" t="str">
        <f>VLOOKUP(N35,dir!B:B,1,0)</f>
        <v>28973</v>
      </c>
    </row>
    <row r="36" spans="1:18" x14ac:dyDescent="0.3">
      <c r="A36" t="s">
        <v>34</v>
      </c>
      <c r="B36">
        <v>1</v>
      </c>
      <c r="E36" t="str">
        <f t="shared" si="0"/>
        <v>2020</v>
      </c>
      <c r="F36" t="str">
        <f t="shared" si="1"/>
        <v>36499</v>
      </c>
      <c r="G36">
        <f t="shared" si="2"/>
        <v>19</v>
      </c>
      <c r="H36" t="str">
        <f t="shared" si="3"/>
        <v>Dubey 2020</v>
      </c>
      <c r="I36">
        <f t="shared" si="4"/>
        <v>10</v>
      </c>
      <c r="J36" t="str">
        <f t="shared" si="5"/>
        <v>Dubey</v>
      </c>
      <c r="N36" t="s">
        <v>127</v>
      </c>
      <c r="O36" t="s">
        <v>97</v>
      </c>
      <c r="P36" t="s">
        <v>202</v>
      </c>
      <c r="R36" t="str">
        <f>VLOOKUP(N36,dir!B:B,1,0)</f>
        <v>36499</v>
      </c>
    </row>
    <row r="37" spans="1:18" x14ac:dyDescent="0.3">
      <c r="A37" t="s">
        <v>35</v>
      </c>
      <c r="B37">
        <v>1</v>
      </c>
      <c r="E37" t="str">
        <f t="shared" si="0"/>
        <v>2020</v>
      </c>
      <c r="F37" t="str">
        <f t="shared" si="1"/>
        <v>36754</v>
      </c>
      <c r="G37">
        <f t="shared" si="2"/>
        <v>18</v>
      </c>
      <c r="H37" t="str">
        <f t="shared" si="3"/>
        <v>Fang 2020</v>
      </c>
      <c r="I37">
        <f t="shared" si="4"/>
        <v>9</v>
      </c>
      <c r="J37" t="str">
        <f t="shared" si="5"/>
        <v>Fang</v>
      </c>
      <c r="N37" t="s">
        <v>128</v>
      </c>
      <c r="O37" t="s">
        <v>97</v>
      </c>
      <c r="P37" t="s">
        <v>203</v>
      </c>
      <c r="R37" t="str">
        <f>VLOOKUP(N37,dir!B:B,1,0)</f>
        <v>36754</v>
      </c>
    </row>
    <row r="38" spans="1:18" x14ac:dyDescent="0.3">
      <c r="A38" t="s">
        <v>36</v>
      </c>
      <c r="B38">
        <v>1</v>
      </c>
      <c r="E38" t="str">
        <f t="shared" si="0"/>
        <v>2020</v>
      </c>
      <c r="F38" t="str">
        <f t="shared" si="1"/>
        <v>28849</v>
      </c>
      <c r="G38">
        <f t="shared" si="2"/>
        <v>19</v>
      </c>
      <c r="H38" t="str">
        <f t="shared" si="3"/>
        <v>Faron 2020</v>
      </c>
      <c r="I38">
        <f t="shared" si="4"/>
        <v>10</v>
      </c>
      <c r="J38" t="str">
        <f t="shared" si="5"/>
        <v>Faron</v>
      </c>
      <c r="N38" t="s">
        <v>129</v>
      </c>
      <c r="O38" t="s">
        <v>97</v>
      </c>
      <c r="P38" t="s">
        <v>204</v>
      </c>
      <c r="R38" t="str">
        <f>VLOOKUP(N38,dir!B:B,1,0)</f>
        <v>28849</v>
      </c>
    </row>
    <row r="39" spans="1:18" x14ac:dyDescent="0.3">
      <c r="A39" t="s">
        <v>37</v>
      </c>
      <c r="B39">
        <v>1</v>
      </c>
      <c r="E39" t="str">
        <f t="shared" si="0"/>
        <v>2024</v>
      </c>
      <c r="F39" t="str">
        <f t="shared" si="1"/>
        <v>28401</v>
      </c>
      <c r="G39">
        <f t="shared" si="2"/>
        <v>18</v>
      </c>
      <c r="H39" t="str">
        <f t="shared" si="3"/>
        <v>Feng 2024</v>
      </c>
      <c r="I39">
        <f t="shared" si="4"/>
        <v>9</v>
      </c>
      <c r="J39" t="str">
        <f t="shared" si="5"/>
        <v>Feng</v>
      </c>
      <c r="N39" t="s">
        <v>130</v>
      </c>
      <c r="O39" t="s">
        <v>89</v>
      </c>
      <c r="P39" t="s">
        <v>205</v>
      </c>
      <c r="R39" t="str">
        <f>VLOOKUP(N39,dir!B:B,1,0)</f>
        <v>28401</v>
      </c>
    </row>
    <row r="40" spans="1:18" x14ac:dyDescent="0.3">
      <c r="A40" t="s">
        <v>38</v>
      </c>
      <c r="B40">
        <v>1</v>
      </c>
      <c r="E40" t="str">
        <f t="shared" si="0"/>
        <v>2022</v>
      </c>
      <c r="F40" t="str">
        <f t="shared" si="1"/>
        <v>28246</v>
      </c>
      <c r="G40">
        <f t="shared" si="2"/>
        <v>33</v>
      </c>
      <c r="H40" t="str">
        <f t="shared" si="3"/>
        <v>Fernandez-Del-Valle 2022</v>
      </c>
      <c r="I40">
        <f t="shared" si="4"/>
        <v>24</v>
      </c>
      <c r="J40" t="str">
        <f t="shared" si="5"/>
        <v>Fernandez-Del-Valle</v>
      </c>
      <c r="N40" t="s">
        <v>131</v>
      </c>
      <c r="O40" t="s">
        <v>95</v>
      </c>
      <c r="P40" t="s">
        <v>206</v>
      </c>
      <c r="R40" t="str">
        <f>VLOOKUP(N40,dir!B:B,1,0)</f>
        <v>28246</v>
      </c>
    </row>
    <row r="41" spans="1:18" x14ac:dyDescent="0.3">
      <c r="A41" t="s">
        <v>39</v>
      </c>
      <c r="B41">
        <v>1</v>
      </c>
      <c r="E41" t="str">
        <f t="shared" si="0"/>
        <v>2024</v>
      </c>
      <c r="F41" t="str">
        <f t="shared" si="1"/>
        <v>31452</v>
      </c>
      <c r="G41">
        <f t="shared" si="2"/>
        <v>21</v>
      </c>
      <c r="H41" t="str">
        <f t="shared" si="3"/>
        <v>Filteau 2024</v>
      </c>
      <c r="I41">
        <f t="shared" si="4"/>
        <v>12</v>
      </c>
      <c r="J41" t="str">
        <f t="shared" si="5"/>
        <v>Filteau</v>
      </c>
      <c r="N41" t="s">
        <v>132</v>
      </c>
      <c r="O41" t="s">
        <v>89</v>
      </c>
      <c r="P41" t="s">
        <v>207</v>
      </c>
      <c r="R41" t="str">
        <f>VLOOKUP(N41,dir!B:B,1,0)</f>
        <v>31452</v>
      </c>
    </row>
    <row r="42" spans="1:18" x14ac:dyDescent="0.3">
      <c r="A42" t="s">
        <v>40</v>
      </c>
      <c r="B42">
        <v>1</v>
      </c>
      <c r="E42" t="str">
        <f t="shared" si="0"/>
        <v>2022</v>
      </c>
      <c r="F42" t="str">
        <f t="shared" si="1"/>
        <v>28205</v>
      </c>
      <c r="G42">
        <f t="shared" si="2"/>
        <v>23</v>
      </c>
      <c r="H42" t="str">
        <f t="shared" si="3"/>
        <v>GarrBarry 2022</v>
      </c>
      <c r="I42">
        <f t="shared" si="4"/>
        <v>14</v>
      </c>
      <c r="J42" t="str">
        <f t="shared" si="5"/>
        <v>GarrBarry</v>
      </c>
      <c r="N42" t="s">
        <v>133</v>
      </c>
      <c r="O42" t="s">
        <v>95</v>
      </c>
      <c r="P42" t="s">
        <v>208</v>
      </c>
      <c r="R42" t="str">
        <f>VLOOKUP(N42,dir!B:B,1,0)</f>
        <v>28205</v>
      </c>
    </row>
    <row r="43" spans="1:18" x14ac:dyDescent="0.3">
      <c r="A43" t="s">
        <v>41</v>
      </c>
      <c r="B43">
        <v>1</v>
      </c>
      <c r="E43" t="str">
        <f t="shared" si="0"/>
        <v>2020</v>
      </c>
      <c r="F43" t="str">
        <f t="shared" si="1"/>
        <v>36200</v>
      </c>
      <c r="G43">
        <f t="shared" si="2"/>
        <v>19</v>
      </c>
      <c r="H43" t="str">
        <f t="shared" si="3"/>
        <v>Golja 2020</v>
      </c>
      <c r="I43">
        <f t="shared" si="4"/>
        <v>10</v>
      </c>
      <c r="J43" t="str">
        <f t="shared" si="5"/>
        <v>Golja</v>
      </c>
      <c r="N43" t="s">
        <v>134</v>
      </c>
      <c r="O43" t="s">
        <v>97</v>
      </c>
      <c r="P43" t="s">
        <v>209</v>
      </c>
      <c r="R43" t="str">
        <f>VLOOKUP(N43,dir!B:B,1,0)</f>
        <v>36200</v>
      </c>
    </row>
    <row r="44" spans="1:18" x14ac:dyDescent="0.3">
      <c r="A44" t="s">
        <v>42</v>
      </c>
      <c r="B44">
        <v>1</v>
      </c>
      <c r="E44" t="str">
        <f t="shared" si="0"/>
        <v>2021</v>
      </c>
      <c r="F44" t="str">
        <f t="shared" si="1"/>
        <v>34950</v>
      </c>
      <c r="G44">
        <f t="shared" si="2"/>
        <v>25</v>
      </c>
      <c r="H44" t="str">
        <f t="shared" si="3"/>
        <v>Gomez-Perez 2021</v>
      </c>
      <c r="I44">
        <f t="shared" si="4"/>
        <v>16</v>
      </c>
      <c r="J44" t="str">
        <f t="shared" si="5"/>
        <v>Gomez-Perez</v>
      </c>
      <c r="N44" t="s">
        <v>135</v>
      </c>
      <c r="O44" t="s">
        <v>87</v>
      </c>
      <c r="P44" t="s">
        <v>210</v>
      </c>
      <c r="R44" t="str">
        <f>VLOOKUP(N44,dir!B:B,1,0)</f>
        <v>34950</v>
      </c>
    </row>
    <row r="45" spans="1:18" x14ac:dyDescent="0.3">
      <c r="A45" t="s">
        <v>43</v>
      </c>
      <c r="B45">
        <v>1</v>
      </c>
      <c r="E45" t="str">
        <f t="shared" si="0"/>
        <v>2021</v>
      </c>
      <c r="F45" t="str">
        <f t="shared" si="1"/>
        <v>28614</v>
      </c>
      <c r="G45">
        <f t="shared" si="2"/>
        <v>19</v>
      </c>
      <c r="H45" t="str">
        <f t="shared" si="3"/>
        <v>Green 2021</v>
      </c>
      <c r="I45">
        <f t="shared" si="4"/>
        <v>10</v>
      </c>
      <c r="J45" t="str">
        <f t="shared" si="5"/>
        <v>Green</v>
      </c>
      <c r="N45" t="s">
        <v>136</v>
      </c>
      <c r="O45" t="s">
        <v>87</v>
      </c>
      <c r="P45" t="s">
        <v>211</v>
      </c>
      <c r="R45" t="str">
        <f>VLOOKUP(N45,dir!B:B,1,0)</f>
        <v>28614</v>
      </c>
    </row>
    <row r="46" spans="1:18" x14ac:dyDescent="0.3">
      <c r="A46" t="s">
        <v>44</v>
      </c>
      <c r="B46">
        <v>1</v>
      </c>
      <c r="E46" t="str">
        <f t="shared" si="0"/>
        <v>2022</v>
      </c>
      <c r="F46" t="str">
        <f t="shared" si="1"/>
        <v>34723</v>
      </c>
      <c r="G46">
        <f t="shared" si="2"/>
        <v>20</v>
      </c>
      <c r="H46" t="str">
        <f t="shared" si="3"/>
        <v>Grover 2022</v>
      </c>
      <c r="I46">
        <f t="shared" si="4"/>
        <v>11</v>
      </c>
      <c r="J46" t="str">
        <f t="shared" si="5"/>
        <v>Grover</v>
      </c>
      <c r="N46" t="s">
        <v>137</v>
      </c>
      <c r="O46" t="s">
        <v>95</v>
      </c>
      <c r="P46" t="s">
        <v>212</v>
      </c>
      <c r="R46" t="str">
        <f>VLOOKUP(N46,dir!B:B,1,0)</f>
        <v>34723</v>
      </c>
    </row>
    <row r="47" spans="1:18" x14ac:dyDescent="0.3">
      <c r="A47" t="s">
        <v>45</v>
      </c>
      <c r="B47">
        <v>1</v>
      </c>
      <c r="E47" t="str">
        <f t="shared" si="0"/>
        <v>2021</v>
      </c>
      <c r="F47" t="str">
        <f t="shared" si="1"/>
        <v>28628</v>
      </c>
      <c r="G47">
        <f t="shared" si="2"/>
        <v>28</v>
      </c>
      <c r="H47" t="str">
        <f t="shared" si="3"/>
        <v>Hamilton-James 2021</v>
      </c>
      <c r="I47">
        <f t="shared" si="4"/>
        <v>19</v>
      </c>
      <c r="J47" t="str">
        <f t="shared" si="5"/>
        <v>Hamilton-James</v>
      </c>
      <c r="N47" t="s">
        <v>138</v>
      </c>
      <c r="O47" t="s">
        <v>87</v>
      </c>
      <c r="P47" t="s">
        <v>213</v>
      </c>
      <c r="R47" t="str">
        <f>VLOOKUP(N47,dir!B:B,1,0)</f>
        <v>28628</v>
      </c>
    </row>
    <row r="48" spans="1:18" x14ac:dyDescent="0.3">
      <c r="A48" t="s">
        <v>46</v>
      </c>
      <c r="B48">
        <v>1</v>
      </c>
      <c r="E48" t="str">
        <f t="shared" si="0"/>
        <v>2024</v>
      </c>
      <c r="F48" t="str">
        <f t="shared" si="1"/>
        <v>31843</v>
      </c>
      <c r="G48">
        <f t="shared" si="2"/>
        <v>20</v>
      </c>
      <c r="H48" t="str">
        <f t="shared" si="3"/>
        <v>Herath 2024</v>
      </c>
      <c r="I48">
        <f t="shared" si="4"/>
        <v>11</v>
      </c>
      <c r="J48" t="str">
        <f t="shared" si="5"/>
        <v>Herath</v>
      </c>
      <c r="N48" t="s">
        <v>139</v>
      </c>
      <c r="O48" t="s">
        <v>89</v>
      </c>
      <c r="P48" t="s">
        <v>214</v>
      </c>
      <c r="R48" t="str">
        <f>VLOOKUP(N48,dir!B:B,1,0)</f>
        <v>31843</v>
      </c>
    </row>
    <row r="49" spans="1:18" x14ac:dyDescent="0.3">
      <c r="A49" t="s">
        <v>47</v>
      </c>
      <c r="B49">
        <v>1</v>
      </c>
      <c r="E49" t="str">
        <f t="shared" si="0"/>
        <v>2022</v>
      </c>
      <c r="F49" t="str">
        <f t="shared" si="1"/>
        <v>28112</v>
      </c>
      <c r="G49">
        <f t="shared" si="2"/>
        <v>19</v>
      </c>
      <c r="H49" t="str">
        <f t="shared" si="3"/>
        <v>Herda 2022</v>
      </c>
      <c r="I49">
        <f t="shared" si="4"/>
        <v>10</v>
      </c>
      <c r="J49" t="str">
        <f t="shared" si="5"/>
        <v>Herda</v>
      </c>
      <c r="N49" t="s">
        <v>140</v>
      </c>
      <c r="O49" t="s">
        <v>95</v>
      </c>
      <c r="P49" t="s">
        <v>215</v>
      </c>
      <c r="R49" t="str">
        <f>VLOOKUP(N49,dir!B:B,1,0)</f>
        <v>28112</v>
      </c>
    </row>
    <row r="50" spans="1:18" x14ac:dyDescent="0.3">
      <c r="A50" t="s">
        <v>48</v>
      </c>
      <c r="B50">
        <v>1</v>
      </c>
      <c r="E50" t="str">
        <f t="shared" si="0"/>
        <v>2022</v>
      </c>
      <c r="F50" t="str">
        <f t="shared" si="1"/>
        <v>28088</v>
      </c>
      <c r="G50">
        <f t="shared" si="2"/>
        <v>20</v>
      </c>
      <c r="H50" t="str">
        <f t="shared" si="3"/>
        <v>Holmes 2022</v>
      </c>
      <c r="I50">
        <f t="shared" si="4"/>
        <v>11</v>
      </c>
      <c r="J50" t="str">
        <f t="shared" si="5"/>
        <v>Holmes</v>
      </c>
      <c r="N50" t="s">
        <v>141</v>
      </c>
      <c r="O50" t="s">
        <v>95</v>
      </c>
      <c r="P50" t="s">
        <v>216</v>
      </c>
      <c r="R50" t="str">
        <f>VLOOKUP(N50,dir!B:B,1,0)</f>
        <v>28088</v>
      </c>
    </row>
    <row r="51" spans="1:18" x14ac:dyDescent="0.3">
      <c r="A51" t="s">
        <v>49</v>
      </c>
      <c r="B51">
        <v>1</v>
      </c>
      <c r="E51" t="str">
        <f t="shared" si="0"/>
        <v>2025</v>
      </c>
      <c r="F51" t="str">
        <f t="shared" si="1"/>
        <v>31356</v>
      </c>
      <c r="G51">
        <f t="shared" si="2"/>
        <v>19</v>
      </c>
      <c r="H51" t="str">
        <f t="shared" si="3"/>
        <v>Huang 2025</v>
      </c>
      <c r="I51">
        <f t="shared" si="4"/>
        <v>10</v>
      </c>
      <c r="J51" t="str">
        <f t="shared" si="5"/>
        <v>Huang</v>
      </c>
      <c r="N51" t="s">
        <v>142</v>
      </c>
      <c r="O51" t="s">
        <v>104</v>
      </c>
      <c r="P51" t="s">
        <v>217</v>
      </c>
      <c r="R51" t="str">
        <f>VLOOKUP(N51,dir!B:B,1,0)</f>
        <v>31356</v>
      </c>
    </row>
    <row r="52" spans="1:18" x14ac:dyDescent="0.3">
      <c r="A52" t="s">
        <v>25</v>
      </c>
      <c r="B52">
        <v>1</v>
      </c>
      <c r="E52" t="str">
        <f t="shared" si="0"/>
        <v>2022</v>
      </c>
      <c r="F52" t="str">
        <f t="shared" si="1"/>
        <v>28116</v>
      </c>
      <c r="G52">
        <f t="shared" si="2"/>
        <v>22</v>
      </c>
      <c r="H52" t="str">
        <f t="shared" si="3"/>
        <v>Coëffier 2022</v>
      </c>
      <c r="I52">
        <f t="shared" si="4"/>
        <v>13</v>
      </c>
      <c r="J52" t="str">
        <f t="shared" si="5"/>
        <v>Coëffier</v>
      </c>
      <c r="N52" t="s">
        <v>118</v>
      </c>
      <c r="O52" t="s">
        <v>95</v>
      </c>
      <c r="P52" t="s">
        <v>194</v>
      </c>
      <c r="R52" t="str">
        <f>VLOOKUP(N52,dir!B:B,1,0)</f>
        <v>28116</v>
      </c>
    </row>
    <row r="53" spans="1:18" x14ac:dyDescent="0.3">
      <c r="A53" t="s">
        <v>26</v>
      </c>
      <c r="B53">
        <v>1</v>
      </c>
      <c r="E53" t="str">
        <f t="shared" si="0"/>
        <v>2020</v>
      </c>
      <c r="F53" t="str">
        <f t="shared" si="1"/>
        <v>36086</v>
      </c>
      <c r="G53">
        <f t="shared" si="2"/>
        <v>22</v>
      </c>
      <c r="H53" t="str">
        <f t="shared" si="3"/>
        <v>Coëffier 2020</v>
      </c>
      <c r="I53">
        <f t="shared" si="4"/>
        <v>13</v>
      </c>
      <c r="J53" t="str">
        <f t="shared" si="5"/>
        <v>Coëffier</v>
      </c>
      <c r="N53" t="s">
        <v>119</v>
      </c>
      <c r="O53" t="s">
        <v>97</v>
      </c>
      <c r="P53" t="s">
        <v>194</v>
      </c>
      <c r="R53" t="str">
        <f>VLOOKUP(N53,dir!B:B,1,0)</f>
        <v>36086</v>
      </c>
    </row>
    <row r="54" spans="1:18" x14ac:dyDescent="0.3">
      <c r="A54" t="s">
        <v>27</v>
      </c>
      <c r="B54">
        <v>1</v>
      </c>
      <c r="E54" t="str">
        <f t="shared" si="0"/>
        <v>2025</v>
      </c>
      <c r="F54" t="str">
        <f t="shared" si="1"/>
        <v>28466</v>
      </c>
      <c r="G54">
        <f t="shared" si="2"/>
        <v>21</v>
      </c>
      <c r="H54" t="str">
        <f t="shared" si="3"/>
        <v>Combest 2025</v>
      </c>
      <c r="I54">
        <f t="shared" si="4"/>
        <v>12</v>
      </c>
      <c r="J54" t="str">
        <f t="shared" si="5"/>
        <v>Combest</v>
      </c>
      <c r="N54" t="s">
        <v>120</v>
      </c>
      <c r="O54" t="s">
        <v>104</v>
      </c>
      <c r="P54" t="s">
        <v>195</v>
      </c>
      <c r="R54" t="str">
        <f>VLOOKUP(N54,dir!B:B,1,0)</f>
        <v>28466</v>
      </c>
    </row>
    <row r="55" spans="1:18" x14ac:dyDescent="0.3">
      <c r="A55" t="s">
        <v>28</v>
      </c>
      <c r="B55">
        <v>1</v>
      </c>
      <c r="E55" t="str">
        <f t="shared" si="0"/>
        <v>2022</v>
      </c>
      <c r="F55" t="str">
        <f t="shared" si="1"/>
        <v>28042</v>
      </c>
      <c r="G55">
        <f t="shared" si="2"/>
        <v>31</v>
      </c>
      <c r="H55" t="str">
        <f t="shared" si="3"/>
        <v>Contreras-Bolívar 2022</v>
      </c>
      <c r="I55">
        <f t="shared" si="4"/>
        <v>22</v>
      </c>
      <c r="J55" t="str">
        <f t="shared" si="5"/>
        <v>Contreras-Bolívar</v>
      </c>
      <c r="N55" t="s">
        <v>121</v>
      </c>
      <c r="O55" t="s">
        <v>95</v>
      </c>
      <c r="P55" t="s">
        <v>196</v>
      </c>
      <c r="R55" t="str">
        <f>VLOOKUP(N55,dir!B:B,1,0)</f>
        <v>28042</v>
      </c>
    </row>
    <row r="56" spans="1:18" x14ac:dyDescent="0.3">
      <c r="A56" t="s">
        <v>29</v>
      </c>
      <c r="B56">
        <v>1</v>
      </c>
      <c r="E56" t="str">
        <f t="shared" si="0"/>
        <v>2021</v>
      </c>
      <c r="F56" t="str">
        <f t="shared" si="1"/>
        <v>28375</v>
      </c>
      <c r="G56">
        <f t="shared" si="2"/>
        <v>20</v>
      </c>
      <c r="H56" t="str">
        <f t="shared" si="3"/>
        <v>Corrêa 2021</v>
      </c>
      <c r="I56">
        <f t="shared" si="4"/>
        <v>11</v>
      </c>
      <c r="J56" t="str">
        <f t="shared" si="5"/>
        <v>Corrêa</v>
      </c>
      <c r="N56" t="s">
        <v>122</v>
      </c>
      <c r="O56" t="s">
        <v>87</v>
      </c>
      <c r="P56" t="s">
        <v>197</v>
      </c>
      <c r="R56" t="str">
        <f>VLOOKUP(N56,dir!B:B,1,0)</f>
        <v>28375</v>
      </c>
    </row>
    <row r="57" spans="1:18" x14ac:dyDescent="0.3">
      <c r="A57" t="s">
        <v>30</v>
      </c>
      <c r="B57">
        <v>1</v>
      </c>
      <c r="E57" t="str">
        <f t="shared" si="0"/>
        <v>2022</v>
      </c>
      <c r="F57" t="str">
        <f t="shared" si="1"/>
        <v>29074</v>
      </c>
      <c r="G57">
        <f t="shared" si="2"/>
        <v>24</v>
      </c>
      <c r="H57" t="str">
        <f t="shared" si="3"/>
        <v>CruzRivera 2022</v>
      </c>
      <c r="I57">
        <f t="shared" si="4"/>
        <v>15</v>
      </c>
      <c r="J57" t="str">
        <f t="shared" si="5"/>
        <v>CruzRivera</v>
      </c>
      <c r="N57" t="s">
        <v>123</v>
      </c>
      <c r="O57" t="s">
        <v>95</v>
      </c>
      <c r="P57" t="s">
        <v>198</v>
      </c>
      <c r="R57" t="str">
        <f>VLOOKUP(N57,dir!B:B,1,0)</f>
        <v>29074</v>
      </c>
    </row>
    <row r="58" spans="1:18" x14ac:dyDescent="0.3">
      <c r="A58" t="s">
        <v>31</v>
      </c>
      <c r="B58">
        <v>1</v>
      </c>
      <c r="E58" t="str">
        <f t="shared" si="0"/>
        <v>2021</v>
      </c>
      <c r="F58" t="str">
        <f t="shared" si="1"/>
        <v>28348</v>
      </c>
      <c r="G58">
        <f t="shared" si="2"/>
        <v>19</v>
      </c>
      <c r="H58" t="str">
        <f t="shared" si="3"/>
        <v>Dalah 2021</v>
      </c>
      <c r="I58">
        <f t="shared" si="4"/>
        <v>10</v>
      </c>
      <c r="J58" t="str">
        <f t="shared" si="5"/>
        <v>Dalah</v>
      </c>
      <c r="N58" t="s">
        <v>124</v>
      </c>
      <c r="O58" t="s">
        <v>87</v>
      </c>
      <c r="P58" t="s">
        <v>199</v>
      </c>
      <c r="R58" t="str">
        <f>VLOOKUP(N58,dir!B:B,1,0)</f>
        <v>28348</v>
      </c>
    </row>
    <row r="59" spans="1:18" x14ac:dyDescent="0.3">
      <c r="A59" t="s">
        <v>32</v>
      </c>
      <c r="B59">
        <v>1</v>
      </c>
      <c r="E59" t="str">
        <f t="shared" si="0"/>
        <v>2020</v>
      </c>
      <c r="F59" t="str">
        <f t="shared" si="1"/>
        <v>28245</v>
      </c>
      <c r="G59">
        <f t="shared" si="2"/>
        <v>21</v>
      </c>
      <c r="H59" t="str">
        <f t="shared" si="3"/>
        <v>deAbreu 2020</v>
      </c>
      <c r="I59">
        <f t="shared" si="4"/>
        <v>12</v>
      </c>
      <c r="J59" t="str">
        <f t="shared" si="5"/>
        <v>deAbreu</v>
      </c>
      <c r="N59" t="s">
        <v>125</v>
      </c>
      <c r="O59" t="s">
        <v>97</v>
      </c>
      <c r="P59" t="s">
        <v>200</v>
      </c>
      <c r="R59" t="str">
        <f>VLOOKUP(N59,dir!B:B,1,0)</f>
        <v>28245</v>
      </c>
    </row>
    <row r="60" spans="1:18" x14ac:dyDescent="0.3">
      <c r="A60" t="s">
        <v>33</v>
      </c>
      <c r="B60">
        <v>1</v>
      </c>
      <c r="E60" t="str">
        <f t="shared" si="0"/>
        <v>2023</v>
      </c>
      <c r="F60" t="str">
        <f t="shared" si="1"/>
        <v>28973</v>
      </c>
      <c r="G60">
        <f t="shared" si="2"/>
        <v>17</v>
      </c>
      <c r="H60" t="str">
        <f t="shared" si="3"/>
        <v>Dou 2023</v>
      </c>
      <c r="I60">
        <f t="shared" si="4"/>
        <v>8</v>
      </c>
      <c r="J60" t="str">
        <f t="shared" si="5"/>
        <v>Dou</v>
      </c>
      <c r="N60" t="s">
        <v>126</v>
      </c>
      <c r="O60" t="s">
        <v>93</v>
      </c>
      <c r="P60" t="s">
        <v>201</v>
      </c>
      <c r="R60" t="str">
        <f>VLOOKUP(N60,dir!B:B,1,0)</f>
        <v>28973</v>
      </c>
    </row>
    <row r="61" spans="1:18" x14ac:dyDescent="0.3">
      <c r="A61" t="s">
        <v>34</v>
      </c>
      <c r="B61">
        <v>1</v>
      </c>
      <c r="E61" t="str">
        <f t="shared" si="0"/>
        <v>2020</v>
      </c>
      <c r="F61" t="str">
        <f t="shared" si="1"/>
        <v>36499</v>
      </c>
      <c r="G61">
        <f t="shared" si="2"/>
        <v>19</v>
      </c>
      <c r="H61" t="str">
        <f t="shared" si="3"/>
        <v>Dubey 2020</v>
      </c>
      <c r="I61">
        <f t="shared" si="4"/>
        <v>10</v>
      </c>
      <c r="J61" t="str">
        <f t="shared" si="5"/>
        <v>Dubey</v>
      </c>
      <c r="N61" t="s">
        <v>127</v>
      </c>
      <c r="O61" t="s">
        <v>97</v>
      </c>
      <c r="P61" t="s">
        <v>202</v>
      </c>
      <c r="R61" t="str">
        <f>VLOOKUP(N61,dir!B:B,1,0)</f>
        <v>36499</v>
      </c>
    </row>
    <row r="62" spans="1:18" x14ac:dyDescent="0.3">
      <c r="A62" t="s">
        <v>35</v>
      </c>
      <c r="B62">
        <v>1</v>
      </c>
      <c r="E62" t="str">
        <f t="shared" si="0"/>
        <v>2020</v>
      </c>
      <c r="F62" t="str">
        <f t="shared" si="1"/>
        <v>36754</v>
      </c>
      <c r="G62">
        <f t="shared" si="2"/>
        <v>18</v>
      </c>
      <c r="H62" t="str">
        <f t="shared" si="3"/>
        <v>Fang 2020</v>
      </c>
      <c r="I62">
        <f t="shared" si="4"/>
        <v>9</v>
      </c>
      <c r="J62" t="str">
        <f t="shared" si="5"/>
        <v>Fang</v>
      </c>
      <c r="N62" t="s">
        <v>128</v>
      </c>
      <c r="O62" t="s">
        <v>97</v>
      </c>
      <c r="P62" t="s">
        <v>203</v>
      </c>
      <c r="R62" t="str">
        <f>VLOOKUP(N62,dir!B:B,1,0)</f>
        <v>36754</v>
      </c>
    </row>
    <row r="63" spans="1:18" x14ac:dyDescent="0.3">
      <c r="A63" t="s">
        <v>36</v>
      </c>
      <c r="B63">
        <v>1</v>
      </c>
      <c r="E63" t="str">
        <f t="shared" si="0"/>
        <v>2020</v>
      </c>
      <c r="F63" t="str">
        <f t="shared" si="1"/>
        <v>28849</v>
      </c>
      <c r="G63">
        <f t="shared" si="2"/>
        <v>19</v>
      </c>
      <c r="H63" t="str">
        <f t="shared" si="3"/>
        <v>Faron 2020</v>
      </c>
      <c r="I63">
        <f t="shared" si="4"/>
        <v>10</v>
      </c>
      <c r="J63" t="str">
        <f t="shared" si="5"/>
        <v>Faron</v>
      </c>
      <c r="N63" t="s">
        <v>129</v>
      </c>
      <c r="O63" t="s">
        <v>97</v>
      </c>
      <c r="P63" t="s">
        <v>204</v>
      </c>
      <c r="R63" t="str">
        <f>VLOOKUP(N63,dir!B:B,1,0)</f>
        <v>28849</v>
      </c>
    </row>
    <row r="64" spans="1:18" x14ac:dyDescent="0.3">
      <c r="A64" t="s">
        <v>37</v>
      </c>
      <c r="B64">
        <v>1</v>
      </c>
      <c r="E64" t="str">
        <f t="shared" si="0"/>
        <v>2024</v>
      </c>
      <c r="F64" t="str">
        <f t="shared" si="1"/>
        <v>28401</v>
      </c>
      <c r="G64">
        <f t="shared" si="2"/>
        <v>18</v>
      </c>
      <c r="H64" t="str">
        <f t="shared" si="3"/>
        <v>Feng 2024</v>
      </c>
      <c r="I64">
        <f t="shared" si="4"/>
        <v>9</v>
      </c>
      <c r="J64" t="str">
        <f t="shared" si="5"/>
        <v>Feng</v>
      </c>
      <c r="N64" t="s">
        <v>130</v>
      </c>
      <c r="O64" t="s">
        <v>89</v>
      </c>
      <c r="P64" t="s">
        <v>205</v>
      </c>
      <c r="R64" t="str">
        <f>VLOOKUP(N64,dir!B:B,1,0)</f>
        <v>28401</v>
      </c>
    </row>
    <row r="65" spans="1:18" x14ac:dyDescent="0.3">
      <c r="A65" t="s">
        <v>38</v>
      </c>
      <c r="B65">
        <v>1</v>
      </c>
      <c r="E65" t="str">
        <f t="shared" si="0"/>
        <v>2022</v>
      </c>
      <c r="F65" t="str">
        <f t="shared" si="1"/>
        <v>28246</v>
      </c>
      <c r="G65">
        <f t="shared" si="2"/>
        <v>33</v>
      </c>
      <c r="H65" t="str">
        <f t="shared" si="3"/>
        <v>Fernandez-Del-Valle 2022</v>
      </c>
      <c r="I65">
        <f t="shared" si="4"/>
        <v>24</v>
      </c>
      <c r="J65" t="str">
        <f t="shared" si="5"/>
        <v>Fernandez-Del-Valle</v>
      </c>
      <c r="N65" t="s">
        <v>131</v>
      </c>
      <c r="O65" t="s">
        <v>95</v>
      </c>
      <c r="P65" t="s">
        <v>206</v>
      </c>
      <c r="R65" t="str">
        <f>VLOOKUP(N65,dir!B:B,1,0)</f>
        <v>28246</v>
      </c>
    </row>
    <row r="66" spans="1:18" x14ac:dyDescent="0.3">
      <c r="A66" t="s">
        <v>39</v>
      </c>
      <c r="B66">
        <v>1</v>
      </c>
      <c r="E66" t="str">
        <f t="shared" si="0"/>
        <v>2024</v>
      </c>
      <c r="F66" t="str">
        <f t="shared" si="1"/>
        <v>31452</v>
      </c>
      <c r="G66">
        <f t="shared" si="2"/>
        <v>21</v>
      </c>
      <c r="H66" t="str">
        <f t="shared" si="3"/>
        <v>Filteau 2024</v>
      </c>
      <c r="I66">
        <f t="shared" si="4"/>
        <v>12</v>
      </c>
      <c r="J66" t="str">
        <f t="shared" si="5"/>
        <v>Filteau</v>
      </c>
      <c r="N66" t="s">
        <v>132</v>
      </c>
      <c r="O66" t="s">
        <v>89</v>
      </c>
      <c r="P66" t="s">
        <v>207</v>
      </c>
      <c r="R66" t="str">
        <f>VLOOKUP(N66,dir!B:B,1,0)</f>
        <v>31452</v>
      </c>
    </row>
    <row r="67" spans="1:18" x14ac:dyDescent="0.3">
      <c r="A67" t="s">
        <v>40</v>
      </c>
      <c r="B67">
        <v>1</v>
      </c>
      <c r="E67" t="str">
        <f t="shared" ref="E67:E103" si="6">RIGHT(A67,4)</f>
        <v>2022</v>
      </c>
      <c r="F67" t="str">
        <f t="shared" ref="F67:F103" si="7">RIGHT(LEFT(A67,6),5)</f>
        <v>28205</v>
      </c>
      <c r="G67">
        <f t="shared" ref="G67:G103" si="8">LEN(A67)</f>
        <v>23</v>
      </c>
      <c r="H67" t="str">
        <f t="shared" ref="H67:H103" si="9">RIGHT(A67,(G67-9))</f>
        <v>GarrBarry 2022</v>
      </c>
      <c r="I67">
        <f t="shared" ref="I67:I103" si="10">LEN(H67)</f>
        <v>14</v>
      </c>
      <c r="J67" t="str">
        <f t="shared" ref="J67:J103" si="11">LEFT(H67,(I67-5))</f>
        <v>GarrBarry</v>
      </c>
      <c r="N67" t="s">
        <v>133</v>
      </c>
      <c r="O67" t="s">
        <v>95</v>
      </c>
      <c r="P67" t="s">
        <v>208</v>
      </c>
      <c r="R67" t="str">
        <f>VLOOKUP(N67,dir!B:B,1,0)</f>
        <v>28205</v>
      </c>
    </row>
    <row r="68" spans="1:18" x14ac:dyDescent="0.3">
      <c r="A68" t="s">
        <v>41</v>
      </c>
      <c r="B68">
        <v>1</v>
      </c>
      <c r="E68" t="str">
        <f t="shared" si="6"/>
        <v>2020</v>
      </c>
      <c r="F68" t="str">
        <f t="shared" si="7"/>
        <v>36200</v>
      </c>
      <c r="G68">
        <f t="shared" si="8"/>
        <v>19</v>
      </c>
      <c r="H68" t="str">
        <f t="shared" si="9"/>
        <v>Golja 2020</v>
      </c>
      <c r="I68">
        <f t="shared" si="10"/>
        <v>10</v>
      </c>
      <c r="J68" t="str">
        <f t="shared" si="11"/>
        <v>Golja</v>
      </c>
      <c r="N68" t="s">
        <v>134</v>
      </c>
      <c r="O68" t="s">
        <v>97</v>
      </c>
      <c r="P68" t="s">
        <v>209</v>
      </c>
      <c r="R68" t="str">
        <f>VLOOKUP(N68,dir!B:B,1,0)</f>
        <v>36200</v>
      </c>
    </row>
    <row r="69" spans="1:18" x14ac:dyDescent="0.3">
      <c r="A69" t="s">
        <v>42</v>
      </c>
      <c r="B69">
        <v>1</v>
      </c>
      <c r="E69" t="str">
        <f t="shared" si="6"/>
        <v>2021</v>
      </c>
      <c r="F69" t="str">
        <f t="shared" si="7"/>
        <v>34950</v>
      </c>
      <c r="G69">
        <f t="shared" si="8"/>
        <v>25</v>
      </c>
      <c r="H69" t="str">
        <f t="shared" si="9"/>
        <v>Gomez-Perez 2021</v>
      </c>
      <c r="I69">
        <f t="shared" si="10"/>
        <v>16</v>
      </c>
      <c r="J69" t="str">
        <f t="shared" si="11"/>
        <v>Gomez-Perez</v>
      </c>
      <c r="N69" t="s">
        <v>135</v>
      </c>
      <c r="O69" t="s">
        <v>87</v>
      </c>
      <c r="P69" t="s">
        <v>210</v>
      </c>
      <c r="R69" t="str">
        <f>VLOOKUP(N69,dir!B:B,1,0)</f>
        <v>34950</v>
      </c>
    </row>
    <row r="70" spans="1:18" x14ac:dyDescent="0.3">
      <c r="A70" t="s">
        <v>43</v>
      </c>
      <c r="B70">
        <v>1</v>
      </c>
      <c r="E70" t="str">
        <f t="shared" si="6"/>
        <v>2021</v>
      </c>
      <c r="F70" t="str">
        <f t="shared" si="7"/>
        <v>28614</v>
      </c>
      <c r="G70">
        <f t="shared" si="8"/>
        <v>19</v>
      </c>
      <c r="H70" t="str">
        <f t="shared" si="9"/>
        <v>Green 2021</v>
      </c>
      <c r="I70">
        <f t="shared" si="10"/>
        <v>10</v>
      </c>
      <c r="J70" t="str">
        <f t="shared" si="11"/>
        <v>Green</v>
      </c>
      <c r="N70" t="s">
        <v>136</v>
      </c>
      <c r="O70" t="s">
        <v>87</v>
      </c>
      <c r="P70" t="s">
        <v>211</v>
      </c>
      <c r="R70" t="str">
        <f>VLOOKUP(N70,dir!B:B,1,0)</f>
        <v>28614</v>
      </c>
    </row>
    <row r="71" spans="1:18" x14ac:dyDescent="0.3">
      <c r="A71" t="s">
        <v>44</v>
      </c>
      <c r="B71">
        <v>1</v>
      </c>
      <c r="E71" t="str">
        <f t="shared" si="6"/>
        <v>2022</v>
      </c>
      <c r="F71" t="str">
        <f t="shared" si="7"/>
        <v>34723</v>
      </c>
      <c r="G71">
        <f t="shared" si="8"/>
        <v>20</v>
      </c>
      <c r="H71" t="str">
        <f t="shared" si="9"/>
        <v>Grover 2022</v>
      </c>
      <c r="I71">
        <f t="shared" si="10"/>
        <v>11</v>
      </c>
      <c r="J71" t="str">
        <f t="shared" si="11"/>
        <v>Grover</v>
      </c>
      <c r="N71" t="s">
        <v>137</v>
      </c>
      <c r="O71" t="s">
        <v>95</v>
      </c>
      <c r="P71" t="s">
        <v>212</v>
      </c>
      <c r="R71" t="str">
        <f>VLOOKUP(N71,dir!B:B,1,0)</f>
        <v>34723</v>
      </c>
    </row>
    <row r="72" spans="1:18" x14ac:dyDescent="0.3">
      <c r="A72" t="s">
        <v>45</v>
      </c>
      <c r="B72">
        <v>1</v>
      </c>
      <c r="E72" t="str">
        <f t="shared" si="6"/>
        <v>2021</v>
      </c>
      <c r="F72" t="str">
        <f t="shared" si="7"/>
        <v>28628</v>
      </c>
      <c r="G72">
        <f t="shared" si="8"/>
        <v>28</v>
      </c>
      <c r="H72" t="str">
        <f t="shared" si="9"/>
        <v>Hamilton-James 2021</v>
      </c>
      <c r="I72">
        <f t="shared" si="10"/>
        <v>19</v>
      </c>
      <c r="J72" t="str">
        <f t="shared" si="11"/>
        <v>Hamilton-James</v>
      </c>
      <c r="N72" t="s">
        <v>138</v>
      </c>
      <c r="O72" t="s">
        <v>87</v>
      </c>
      <c r="P72" t="s">
        <v>213</v>
      </c>
      <c r="R72" t="str">
        <f>VLOOKUP(N72,dir!B:B,1,0)</f>
        <v>28628</v>
      </c>
    </row>
    <row r="73" spans="1:18" x14ac:dyDescent="0.3">
      <c r="A73" t="s">
        <v>46</v>
      </c>
      <c r="B73">
        <v>1</v>
      </c>
      <c r="E73" t="str">
        <f t="shared" si="6"/>
        <v>2024</v>
      </c>
      <c r="F73" t="str">
        <f t="shared" si="7"/>
        <v>31843</v>
      </c>
      <c r="G73">
        <f t="shared" si="8"/>
        <v>20</v>
      </c>
      <c r="H73" t="str">
        <f t="shared" si="9"/>
        <v>Herath 2024</v>
      </c>
      <c r="I73">
        <f t="shared" si="10"/>
        <v>11</v>
      </c>
      <c r="J73" t="str">
        <f t="shared" si="11"/>
        <v>Herath</v>
      </c>
      <c r="N73" t="s">
        <v>139</v>
      </c>
      <c r="O73" t="s">
        <v>89</v>
      </c>
      <c r="P73" t="s">
        <v>214</v>
      </c>
      <c r="R73" t="str">
        <f>VLOOKUP(N73,dir!B:B,1,0)</f>
        <v>31843</v>
      </c>
    </row>
    <row r="74" spans="1:18" x14ac:dyDescent="0.3">
      <c r="A74" t="s">
        <v>47</v>
      </c>
      <c r="B74">
        <v>1</v>
      </c>
      <c r="E74" t="str">
        <f t="shared" si="6"/>
        <v>2022</v>
      </c>
      <c r="F74" t="str">
        <f t="shared" si="7"/>
        <v>28112</v>
      </c>
      <c r="G74">
        <f t="shared" si="8"/>
        <v>19</v>
      </c>
      <c r="H74" t="str">
        <f t="shared" si="9"/>
        <v>Herda 2022</v>
      </c>
      <c r="I74">
        <f t="shared" si="10"/>
        <v>10</v>
      </c>
      <c r="J74" t="str">
        <f t="shared" si="11"/>
        <v>Herda</v>
      </c>
      <c r="N74" t="s">
        <v>140</v>
      </c>
      <c r="O74" t="s">
        <v>95</v>
      </c>
      <c r="P74" t="s">
        <v>215</v>
      </c>
      <c r="R74" t="str">
        <f>VLOOKUP(N74,dir!B:B,1,0)</f>
        <v>28112</v>
      </c>
    </row>
    <row r="75" spans="1:18" x14ac:dyDescent="0.3">
      <c r="A75" t="s">
        <v>48</v>
      </c>
      <c r="B75">
        <v>1</v>
      </c>
      <c r="E75" t="str">
        <f t="shared" si="6"/>
        <v>2022</v>
      </c>
      <c r="F75" t="str">
        <f t="shared" si="7"/>
        <v>28088</v>
      </c>
      <c r="G75">
        <f t="shared" si="8"/>
        <v>20</v>
      </c>
      <c r="H75" t="str">
        <f t="shared" si="9"/>
        <v>Holmes 2022</v>
      </c>
      <c r="I75">
        <f t="shared" si="10"/>
        <v>11</v>
      </c>
      <c r="J75" t="str">
        <f t="shared" si="11"/>
        <v>Holmes</v>
      </c>
      <c r="N75" t="s">
        <v>141</v>
      </c>
      <c r="O75" t="s">
        <v>95</v>
      </c>
      <c r="P75" t="s">
        <v>216</v>
      </c>
      <c r="R75" t="str">
        <f>VLOOKUP(N75,dir!B:B,1,0)</f>
        <v>28088</v>
      </c>
    </row>
    <row r="76" spans="1:18" x14ac:dyDescent="0.3">
      <c r="A76" t="s">
        <v>49</v>
      </c>
      <c r="B76">
        <v>1</v>
      </c>
      <c r="E76" t="str">
        <f t="shared" si="6"/>
        <v>2025</v>
      </c>
      <c r="F76" t="str">
        <f t="shared" si="7"/>
        <v>31356</v>
      </c>
      <c r="G76">
        <f t="shared" si="8"/>
        <v>19</v>
      </c>
      <c r="H76" t="str">
        <f t="shared" si="9"/>
        <v>Huang 2025</v>
      </c>
      <c r="I76">
        <f t="shared" si="10"/>
        <v>10</v>
      </c>
      <c r="J76" t="str">
        <f t="shared" si="11"/>
        <v>Huang</v>
      </c>
      <c r="N76" t="s">
        <v>142</v>
      </c>
      <c r="O76" t="s">
        <v>104</v>
      </c>
      <c r="P76" t="s">
        <v>217</v>
      </c>
      <c r="R76" t="str">
        <f>VLOOKUP(N76,dir!B:B,1,0)</f>
        <v>31356</v>
      </c>
    </row>
    <row r="77" spans="1:18" x14ac:dyDescent="0.3">
      <c r="A77" t="s">
        <v>50</v>
      </c>
      <c r="B77">
        <v>1</v>
      </c>
      <c r="E77" t="str">
        <f t="shared" si="6"/>
        <v>2023</v>
      </c>
      <c r="F77" t="str">
        <f t="shared" si="7"/>
        <v>28223</v>
      </c>
      <c r="G77">
        <f t="shared" si="8"/>
        <v>19</v>
      </c>
      <c r="H77" t="str">
        <f t="shared" si="9"/>
        <v>Huang 2023</v>
      </c>
      <c r="I77">
        <f t="shared" si="10"/>
        <v>10</v>
      </c>
      <c r="J77" t="str">
        <f t="shared" si="11"/>
        <v>Huang</v>
      </c>
      <c r="N77" t="s">
        <v>143</v>
      </c>
      <c r="O77" t="s">
        <v>93</v>
      </c>
      <c r="P77" t="s">
        <v>217</v>
      </c>
      <c r="R77" t="str">
        <f>VLOOKUP(N77,dir!B:B,1,0)</f>
        <v>28223</v>
      </c>
    </row>
    <row r="78" spans="1:18" x14ac:dyDescent="0.3">
      <c r="A78" t="s">
        <v>51</v>
      </c>
      <c r="B78">
        <v>1</v>
      </c>
      <c r="E78" t="str">
        <f t="shared" si="6"/>
        <v>2021</v>
      </c>
      <c r="F78" t="str">
        <f t="shared" si="7"/>
        <v>28369</v>
      </c>
      <c r="G78">
        <f t="shared" si="8"/>
        <v>18</v>
      </c>
      <c r="H78" t="str">
        <f t="shared" si="9"/>
        <v>Hurt 2021</v>
      </c>
      <c r="I78">
        <f t="shared" si="10"/>
        <v>9</v>
      </c>
      <c r="J78" t="str">
        <f t="shared" si="11"/>
        <v>Hurt</v>
      </c>
      <c r="N78" t="s">
        <v>144</v>
      </c>
      <c r="O78" t="s">
        <v>87</v>
      </c>
      <c r="P78" t="s">
        <v>218</v>
      </c>
      <c r="R78" t="str">
        <f>VLOOKUP(N78,dir!B:B,1,0)</f>
        <v>28369</v>
      </c>
    </row>
    <row r="79" spans="1:18" x14ac:dyDescent="0.3">
      <c r="A79" t="s">
        <v>52</v>
      </c>
      <c r="B79">
        <v>1</v>
      </c>
      <c r="E79" t="str">
        <f t="shared" si="6"/>
        <v>2021</v>
      </c>
      <c r="F79" t="str">
        <f t="shared" si="7"/>
        <v>35920</v>
      </c>
      <c r="G79">
        <f t="shared" si="8"/>
        <v>21</v>
      </c>
      <c r="H79" t="str">
        <f t="shared" si="9"/>
        <v>Iyengar 2021</v>
      </c>
      <c r="I79">
        <f t="shared" si="10"/>
        <v>12</v>
      </c>
      <c r="J79" t="str">
        <f t="shared" si="11"/>
        <v>Iyengar</v>
      </c>
      <c r="N79" t="s">
        <v>145</v>
      </c>
      <c r="O79" t="s">
        <v>87</v>
      </c>
      <c r="P79" t="s">
        <v>219</v>
      </c>
      <c r="R79" t="str">
        <f>VLOOKUP(N79,dir!B:B,1,0)</f>
        <v>35920</v>
      </c>
    </row>
    <row r="80" spans="1:18" x14ac:dyDescent="0.3">
      <c r="A80" t="s">
        <v>53</v>
      </c>
      <c r="B80">
        <v>1</v>
      </c>
      <c r="E80" t="str">
        <f t="shared" si="6"/>
        <v>2024</v>
      </c>
      <c r="F80" t="str">
        <f t="shared" si="7"/>
        <v>32076</v>
      </c>
      <c r="G80">
        <f t="shared" si="8"/>
        <v>19</v>
      </c>
      <c r="H80" t="str">
        <f t="shared" si="9"/>
        <v>Jagim 2024</v>
      </c>
      <c r="I80">
        <f t="shared" si="10"/>
        <v>10</v>
      </c>
      <c r="J80" t="str">
        <f t="shared" si="11"/>
        <v>Jagim</v>
      </c>
      <c r="N80" t="s">
        <v>146</v>
      </c>
      <c r="O80" t="s">
        <v>89</v>
      </c>
      <c r="P80" t="s">
        <v>220</v>
      </c>
      <c r="R80" t="str">
        <f>VLOOKUP(N80,dir!B:B,1,0)</f>
        <v>32076</v>
      </c>
    </row>
    <row r="81" spans="1:18" x14ac:dyDescent="0.3">
      <c r="A81" t="s">
        <v>54</v>
      </c>
      <c r="B81">
        <v>1</v>
      </c>
      <c r="E81" t="str">
        <f t="shared" si="6"/>
        <v>2025</v>
      </c>
      <c r="F81" t="str">
        <f t="shared" si="7"/>
        <v>31493</v>
      </c>
      <c r="G81">
        <f t="shared" si="8"/>
        <v>18</v>
      </c>
      <c r="H81" t="str">
        <f t="shared" si="9"/>
        <v>Jian 2025</v>
      </c>
      <c r="I81">
        <f t="shared" si="10"/>
        <v>9</v>
      </c>
      <c r="J81" t="str">
        <f t="shared" si="11"/>
        <v>Jian</v>
      </c>
      <c r="N81" t="s">
        <v>147</v>
      </c>
      <c r="O81" t="s">
        <v>104</v>
      </c>
      <c r="P81" t="s">
        <v>221</v>
      </c>
      <c r="R81" t="str">
        <f>VLOOKUP(N81,dir!B:B,1,0)</f>
        <v>31493</v>
      </c>
    </row>
    <row r="82" spans="1:18" x14ac:dyDescent="0.3">
      <c r="A82" t="s">
        <v>55</v>
      </c>
      <c r="B82">
        <v>1</v>
      </c>
      <c r="E82" t="str">
        <f t="shared" si="6"/>
        <v>2023</v>
      </c>
      <c r="F82" t="str">
        <f t="shared" si="7"/>
        <v>32828</v>
      </c>
      <c r="G82">
        <f t="shared" si="8"/>
        <v>18</v>
      </c>
      <c r="H82" t="str">
        <f t="shared" si="9"/>
        <v>Juby 2023</v>
      </c>
      <c r="I82">
        <f t="shared" si="10"/>
        <v>9</v>
      </c>
      <c r="J82" t="str">
        <f t="shared" si="11"/>
        <v>Juby</v>
      </c>
      <c r="N82" t="s">
        <v>148</v>
      </c>
      <c r="O82" t="s">
        <v>93</v>
      </c>
      <c r="P82" t="s">
        <v>222</v>
      </c>
      <c r="R82" t="str">
        <f>VLOOKUP(N82,dir!B:B,1,0)</f>
        <v>32828</v>
      </c>
    </row>
    <row r="83" spans="1:18" x14ac:dyDescent="0.3">
      <c r="A83" t="s">
        <v>56</v>
      </c>
      <c r="B83">
        <v>1</v>
      </c>
      <c r="E83" t="str">
        <f t="shared" si="6"/>
        <v>2020</v>
      </c>
      <c r="F83" t="str">
        <f t="shared" si="7"/>
        <v>36375</v>
      </c>
      <c r="G83">
        <f t="shared" si="8"/>
        <v>18</v>
      </c>
      <c r="H83" t="str">
        <f t="shared" si="9"/>
        <v>Khan 2020</v>
      </c>
      <c r="I83">
        <f t="shared" si="10"/>
        <v>9</v>
      </c>
      <c r="J83" t="str">
        <f t="shared" si="11"/>
        <v>Khan</v>
      </c>
      <c r="N83" t="s">
        <v>149</v>
      </c>
      <c r="O83" t="s">
        <v>97</v>
      </c>
      <c r="P83" t="s">
        <v>223</v>
      </c>
      <c r="R83" t="str">
        <f>VLOOKUP(N83,dir!B:B,1,0)</f>
        <v>36375</v>
      </c>
    </row>
    <row r="84" spans="1:18" x14ac:dyDescent="0.3">
      <c r="A84" t="s">
        <v>57</v>
      </c>
      <c r="B84">
        <v>1</v>
      </c>
      <c r="E84" t="str">
        <f t="shared" si="6"/>
        <v>2022</v>
      </c>
      <c r="F84" t="str">
        <f t="shared" si="7"/>
        <v>28139</v>
      </c>
      <c r="G84">
        <f t="shared" si="8"/>
        <v>20</v>
      </c>
      <c r="H84" t="str">
        <f t="shared" si="9"/>
        <v>Kiefer 2022</v>
      </c>
      <c r="I84">
        <f t="shared" si="10"/>
        <v>11</v>
      </c>
      <c r="J84" t="str">
        <f t="shared" si="11"/>
        <v>Kiefer</v>
      </c>
      <c r="N84" t="s">
        <v>150</v>
      </c>
      <c r="O84" t="s">
        <v>95</v>
      </c>
      <c r="P84" t="s">
        <v>224</v>
      </c>
      <c r="R84" t="str">
        <f>VLOOKUP(N84,dir!B:B,1,0)</f>
        <v>28139</v>
      </c>
    </row>
    <row r="85" spans="1:18" x14ac:dyDescent="0.3">
      <c r="A85" t="s">
        <v>58</v>
      </c>
      <c r="B85">
        <v>1</v>
      </c>
      <c r="E85" t="str">
        <f t="shared" si="6"/>
        <v>2021</v>
      </c>
      <c r="F85" t="str">
        <f t="shared" si="7"/>
        <v>28294</v>
      </c>
      <c r="G85">
        <f t="shared" si="8"/>
        <v>20</v>
      </c>
      <c r="H85" t="str">
        <f t="shared" si="9"/>
        <v>Kracht 2021</v>
      </c>
      <c r="I85">
        <f t="shared" si="10"/>
        <v>11</v>
      </c>
      <c r="J85" t="str">
        <f t="shared" si="11"/>
        <v>Kracht</v>
      </c>
      <c r="N85" t="s">
        <v>151</v>
      </c>
      <c r="O85" t="s">
        <v>87</v>
      </c>
      <c r="P85" t="s">
        <v>225</v>
      </c>
      <c r="R85" t="str">
        <f>VLOOKUP(N85,dir!B:B,1,0)</f>
        <v>28294</v>
      </c>
    </row>
    <row r="86" spans="1:18" x14ac:dyDescent="0.3">
      <c r="A86" t="s">
        <v>59</v>
      </c>
      <c r="B86">
        <v>1</v>
      </c>
      <c r="E86" t="str">
        <f t="shared" si="6"/>
        <v>2022</v>
      </c>
      <c r="F86" t="str">
        <f t="shared" si="7"/>
        <v>28046</v>
      </c>
      <c r="G86">
        <f t="shared" si="8"/>
        <v>19</v>
      </c>
      <c r="H86" t="str">
        <f t="shared" si="9"/>
        <v>Kroll 2022</v>
      </c>
      <c r="I86">
        <f t="shared" si="10"/>
        <v>10</v>
      </c>
      <c r="J86" t="str">
        <f t="shared" si="11"/>
        <v>Kroll</v>
      </c>
      <c r="N86" t="s">
        <v>152</v>
      </c>
      <c r="O86" t="s">
        <v>95</v>
      </c>
      <c r="P86" t="s">
        <v>226</v>
      </c>
      <c r="R86" t="str">
        <f>VLOOKUP(N86,dir!B:B,1,0)</f>
        <v>28046</v>
      </c>
    </row>
    <row r="87" spans="1:18" x14ac:dyDescent="0.3">
      <c r="A87" t="s">
        <v>60</v>
      </c>
      <c r="B87">
        <v>1</v>
      </c>
      <c r="E87" t="str">
        <f t="shared" si="6"/>
        <v>2021</v>
      </c>
      <c r="F87" t="str">
        <f t="shared" si="7"/>
        <v>28392</v>
      </c>
      <c r="G87">
        <f t="shared" si="8"/>
        <v>19</v>
      </c>
      <c r="H87" t="str">
        <f t="shared" si="9"/>
        <v>Lahav 2021</v>
      </c>
      <c r="I87">
        <f t="shared" si="10"/>
        <v>10</v>
      </c>
      <c r="J87" t="str">
        <f t="shared" si="11"/>
        <v>Lahav</v>
      </c>
      <c r="N87" t="s">
        <v>153</v>
      </c>
      <c r="O87" t="s">
        <v>87</v>
      </c>
      <c r="P87" t="s">
        <v>227</v>
      </c>
      <c r="R87" t="str">
        <f>VLOOKUP(N87,dir!B:B,1,0)</f>
        <v>28392</v>
      </c>
    </row>
    <row r="88" spans="1:18" x14ac:dyDescent="0.3">
      <c r="A88" t="s">
        <v>61</v>
      </c>
      <c r="B88">
        <v>1</v>
      </c>
      <c r="E88" t="str">
        <f t="shared" si="6"/>
        <v>2022</v>
      </c>
      <c r="F88" t="str">
        <f t="shared" si="7"/>
        <v>28318</v>
      </c>
      <c r="G88">
        <f t="shared" si="8"/>
        <v>17</v>
      </c>
      <c r="H88" t="str">
        <f t="shared" si="9"/>
        <v>Lai 2022</v>
      </c>
      <c r="I88">
        <f t="shared" si="10"/>
        <v>8</v>
      </c>
      <c r="J88" t="str">
        <f t="shared" si="11"/>
        <v>Lai</v>
      </c>
      <c r="N88" t="s">
        <v>154</v>
      </c>
      <c r="O88" t="s">
        <v>95</v>
      </c>
      <c r="P88" t="s">
        <v>228</v>
      </c>
      <c r="R88" t="str">
        <f>VLOOKUP(N88,dir!B:B,1,0)</f>
        <v>28318</v>
      </c>
    </row>
    <row r="89" spans="1:18" x14ac:dyDescent="0.3">
      <c r="A89" t="s">
        <v>62</v>
      </c>
      <c r="B89">
        <v>1</v>
      </c>
      <c r="E89" t="str">
        <f t="shared" si="6"/>
        <v>2023</v>
      </c>
      <c r="F89" t="str">
        <f t="shared" si="7"/>
        <v>28150</v>
      </c>
      <c r="G89">
        <f t="shared" si="8"/>
        <v>29</v>
      </c>
      <c r="H89" t="str">
        <f t="shared" si="9"/>
        <v>Martínez-Ferrán 2023</v>
      </c>
      <c r="I89">
        <f t="shared" si="10"/>
        <v>20</v>
      </c>
      <c r="J89" t="str">
        <f t="shared" si="11"/>
        <v>Martínez-Ferrán</v>
      </c>
      <c r="N89" t="s">
        <v>155</v>
      </c>
      <c r="O89" t="s">
        <v>93</v>
      </c>
      <c r="P89" t="s">
        <v>229</v>
      </c>
      <c r="R89" t="str">
        <f>VLOOKUP(N89,dir!B:B,1,0)</f>
        <v>28150</v>
      </c>
    </row>
    <row r="90" spans="1:18" x14ac:dyDescent="0.3">
      <c r="A90" t="s">
        <v>63</v>
      </c>
      <c r="B90">
        <v>1</v>
      </c>
      <c r="E90" t="str">
        <f t="shared" si="6"/>
        <v>2022</v>
      </c>
      <c r="F90" t="str">
        <f t="shared" si="7"/>
        <v>28056</v>
      </c>
      <c r="G90">
        <f t="shared" si="8"/>
        <v>21</v>
      </c>
      <c r="H90" t="str">
        <f t="shared" si="9"/>
        <v>Tinsley 2022</v>
      </c>
      <c r="I90">
        <f t="shared" si="10"/>
        <v>12</v>
      </c>
      <c r="J90" t="str">
        <f t="shared" si="11"/>
        <v>Tinsley</v>
      </c>
      <c r="N90" t="s">
        <v>156</v>
      </c>
      <c r="O90" t="s">
        <v>95</v>
      </c>
      <c r="P90" t="s">
        <v>230</v>
      </c>
      <c r="R90" t="str">
        <f>VLOOKUP(N90,dir!B:B,1,0)</f>
        <v>28056</v>
      </c>
    </row>
    <row r="91" spans="1:18" x14ac:dyDescent="0.3">
      <c r="A91" t="s">
        <v>64</v>
      </c>
      <c r="B91">
        <v>1</v>
      </c>
      <c r="E91" t="str">
        <f t="shared" si="6"/>
        <v>2023</v>
      </c>
      <c r="F91" t="str">
        <f t="shared" si="7"/>
        <v>28101</v>
      </c>
      <c r="G91">
        <f t="shared" si="8"/>
        <v>21</v>
      </c>
      <c r="H91" t="str">
        <f t="shared" si="9"/>
        <v>Tinsley 2023</v>
      </c>
      <c r="I91">
        <f t="shared" si="10"/>
        <v>12</v>
      </c>
      <c r="J91" t="str">
        <f t="shared" si="11"/>
        <v>Tinsley</v>
      </c>
      <c r="N91" t="s">
        <v>157</v>
      </c>
      <c r="O91" t="s">
        <v>93</v>
      </c>
      <c r="P91" t="s">
        <v>230</v>
      </c>
      <c r="R91" t="str">
        <f>VLOOKUP(N91,dir!B:B,1,0)</f>
        <v>28101</v>
      </c>
    </row>
    <row r="92" spans="1:18" x14ac:dyDescent="0.3">
      <c r="A92" t="s">
        <v>65</v>
      </c>
      <c r="B92">
        <v>1</v>
      </c>
      <c r="E92" t="str">
        <f t="shared" si="6"/>
        <v>2020</v>
      </c>
      <c r="F92" t="str">
        <f t="shared" si="7"/>
        <v>36542</v>
      </c>
      <c r="G92">
        <f t="shared" si="8"/>
        <v>21</v>
      </c>
      <c r="H92" t="str">
        <f t="shared" si="9"/>
        <v>Tinsley 2020</v>
      </c>
      <c r="I92">
        <f t="shared" si="10"/>
        <v>12</v>
      </c>
      <c r="J92" t="str">
        <f t="shared" si="11"/>
        <v>Tinsley</v>
      </c>
      <c r="N92" t="s">
        <v>158</v>
      </c>
      <c r="O92" t="s">
        <v>97</v>
      </c>
      <c r="P92" t="s">
        <v>230</v>
      </c>
      <c r="R92" t="str">
        <f>VLOOKUP(N92,dir!B:B,1,0)</f>
        <v>36542</v>
      </c>
    </row>
    <row r="93" spans="1:18" x14ac:dyDescent="0.3">
      <c r="A93" t="s">
        <v>66</v>
      </c>
      <c r="B93">
        <v>1</v>
      </c>
      <c r="E93" t="str">
        <f t="shared" si="6"/>
        <v>2022</v>
      </c>
      <c r="F93" t="str">
        <f t="shared" si="7"/>
        <v>34733</v>
      </c>
      <c r="G93">
        <f t="shared" si="8"/>
        <v>30</v>
      </c>
      <c r="H93" t="str">
        <f t="shared" si="9"/>
        <v>vanBeijsterveldt 2022</v>
      </c>
      <c r="I93">
        <f t="shared" si="10"/>
        <v>21</v>
      </c>
      <c r="J93" t="str">
        <f t="shared" si="11"/>
        <v>vanBeijsterveldt</v>
      </c>
      <c r="N93" t="s">
        <v>159</v>
      </c>
      <c r="O93" t="s">
        <v>95</v>
      </c>
      <c r="P93" t="s">
        <v>231</v>
      </c>
      <c r="R93" t="str">
        <f>VLOOKUP(N93,dir!B:B,1,0)</f>
        <v>34733</v>
      </c>
    </row>
    <row r="94" spans="1:18" x14ac:dyDescent="0.3">
      <c r="A94" t="s">
        <v>67</v>
      </c>
      <c r="B94">
        <v>1</v>
      </c>
      <c r="E94" t="str">
        <f t="shared" si="6"/>
        <v>2022</v>
      </c>
      <c r="F94" t="str">
        <f t="shared" si="7"/>
        <v>34383</v>
      </c>
      <c r="G94">
        <f t="shared" si="8"/>
        <v>26</v>
      </c>
      <c r="H94" t="str">
        <f t="shared" si="9"/>
        <v>vandenHelder 2022</v>
      </c>
      <c r="I94">
        <f t="shared" si="10"/>
        <v>17</v>
      </c>
      <c r="J94" t="str">
        <f t="shared" si="11"/>
        <v>vandenHelder</v>
      </c>
      <c r="N94" t="s">
        <v>160</v>
      </c>
      <c r="O94" t="s">
        <v>95</v>
      </c>
      <c r="P94" t="s">
        <v>232</v>
      </c>
      <c r="R94" t="str">
        <f>VLOOKUP(N94,dir!B:B,1,0)</f>
        <v>34383</v>
      </c>
    </row>
    <row r="95" spans="1:18" x14ac:dyDescent="0.3">
      <c r="A95" t="s">
        <v>68</v>
      </c>
      <c r="B95">
        <v>1</v>
      </c>
      <c r="E95" t="str">
        <f t="shared" si="6"/>
        <v>2022</v>
      </c>
      <c r="F95" t="str">
        <f t="shared" si="7"/>
        <v>33877</v>
      </c>
      <c r="G95">
        <f t="shared" si="8"/>
        <v>28</v>
      </c>
      <c r="H95" t="str">
        <f t="shared" si="9"/>
        <v>Velázquez-Alva 2022</v>
      </c>
      <c r="I95">
        <f t="shared" si="10"/>
        <v>19</v>
      </c>
      <c r="J95" t="str">
        <f t="shared" si="11"/>
        <v>Velázquez-Alva</v>
      </c>
      <c r="N95" t="s">
        <v>161</v>
      </c>
      <c r="O95" t="s">
        <v>95</v>
      </c>
      <c r="P95" t="s">
        <v>233</v>
      </c>
      <c r="R95" t="str">
        <f>VLOOKUP(N95,dir!B:B,1,0)</f>
        <v>33877</v>
      </c>
    </row>
    <row r="96" spans="1:18" x14ac:dyDescent="0.3">
      <c r="A96" t="s">
        <v>69</v>
      </c>
      <c r="B96">
        <v>1</v>
      </c>
      <c r="E96" t="str">
        <f t="shared" si="6"/>
        <v>2021</v>
      </c>
      <c r="F96" t="str">
        <f t="shared" si="7"/>
        <v>28188</v>
      </c>
      <c r="G96">
        <f t="shared" si="8"/>
        <v>23</v>
      </c>
      <c r="H96" t="str">
        <f t="shared" si="9"/>
        <v>Vermeiren 2021</v>
      </c>
      <c r="I96">
        <f t="shared" si="10"/>
        <v>14</v>
      </c>
      <c r="J96" t="str">
        <f t="shared" si="11"/>
        <v>Vermeiren</v>
      </c>
      <c r="N96" t="s">
        <v>162</v>
      </c>
      <c r="O96" t="s">
        <v>87</v>
      </c>
      <c r="P96" t="s">
        <v>234</v>
      </c>
      <c r="R96" t="str">
        <f>VLOOKUP(N96,dir!B:B,1,0)</f>
        <v>28188</v>
      </c>
    </row>
    <row r="97" spans="1:18" x14ac:dyDescent="0.3">
      <c r="A97" t="s">
        <v>70</v>
      </c>
      <c r="B97">
        <v>1</v>
      </c>
      <c r="E97" t="str">
        <f t="shared" si="6"/>
        <v>2021</v>
      </c>
      <c r="F97" t="str">
        <f t="shared" si="7"/>
        <v>28163</v>
      </c>
      <c r="G97">
        <f t="shared" si="8"/>
        <v>28</v>
      </c>
      <c r="H97" t="str">
        <f t="shared" si="9"/>
        <v>vonGraffenried 2021</v>
      </c>
      <c r="I97">
        <f t="shared" si="10"/>
        <v>19</v>
      </c>
      <c r="J97" t="str">
        <f t="shared" si="11"/>
        <v>vonGraffenried</v>
      </c>
      <c r="N97" t="s">
        <v>163</v>
      </c>
      <c r="O97" t="s">
        <v>87</v>
      </c>
      <c r="P97" t="s">
        <v>235</v>
      </c>
      <c r="R97" t="str">
        <f>VLOOKUP(N97,dir!B:B,1,0)</f>
        <v>28163</v>
      </c>
    </row>
    <row r="98" spans="1:18" x14ac:dyDescent="0.3">
      <c r="A98" t="s">
        <v>71</v>
      </c>
      <c r="B98">
        <v>1</v>
      </c>
      <c r="E98" t="str">
        <f t="shared" si="6"/>
        <v>2022</v>
      </c>
      <c r="F98" t="str">
        <f t="shared" si="7"/>
        <v>34099</v>
      </c>
      <c r="G98">
        <f t="shared" si="8"/>
        <v>18</v>
      </c>
      <c r="H98" t="str">
        <f t="shared" si="9"/>
        <v>Wang 2022</v>
      </c>
      <c r="I98">
        <f t="shared" si="10"/>
        <v>9</v>
      </c>
      <c r="J98" t="str">
        <f t="shared" si="11"/>
        <v>Wang</v>
      </c>
      <c r="N98" t="s">
        <v>164</v>
      </c>
      <c r="O98" t="s">
        <v>95</v>
      </c>
      <c r="P98" t="s">
        <v>236</v>
      </c>
      <c r="R98" t="str">
        <f>VLOOKUP(N98,dir!B:B,1,0)</f>
        <v>34099</v>
      </c>
    </row>
    <row r="99" spans="1:18" x14ac:dyDescent="0.3">
      <c r="A99" t="s">
        <v>72</v>
      </c>
      <c r="B99">
        <v>1</v>
      </c>
      <c r="E99" t="str">
        <f t="shared" si="6"/>
        <v>2025</v>
      </c>
      <c r="F99" t="str">
        <f t="shared" si="7"/>
        <v>31386</v>
      </c>
      <c r="G99">
        <f t="shared" si="8"/>
        <v>24</v>
      </c>
      <c r="H99" t="str">
        <f t="shared" si="9"/>
        <v>Westerheim 2025</v>
      </c>
      <c r="I99">
        <f t="shared" si="10"/>
        <v>15</v>
      </c>
      <c r="J99" t="str">
        <f t="shared" si="11"/>
        <v>Westerheim</v>
      </c>
      <c r="N99" t="s">
        <v>165</v>
      </c>
      <c r="O99" t="s">
        <v>104</v>
      </c>
      <c r="P99" t="s">
        <v>237</v>
      </c>
      <c r="R99" t="str">
        <f>VLOOKUP(N99,dir!B:B,1,0)</f>
        <v>31386</v>
      </c>
    </row>
    <row r="100" spans="1:18" x14ac:dyDescent="0.3">
      <c r="A100" t="s">
        <v>73</v>
      </c>
      <c r="B100">
        <v>1</v>
      </c>
      <c r="E100" t="str">
        <f t="shared" si="6"/>
        <v>2020</v>
      </c>
      <c r="F100" t="str">
        <f t="shared" si="7"/>
        <v>36265</v>
      </c>
      <c r="G100">
        <f t="shared" si="8"/>
        <v>18</v>
      </c>
      <c r="H100" t="str">
        <f t="shared" si="9"/>
        <v>Wood 2020</v>
      </c>
      <c r="I100">
        <f t="shared" si="10"/>
        <v>9</v>
      </c>
      <c r="J100" t="str">
        <f t="shared" si="11"/>
        <v>Wood</v>
      </c>
      <c r="N100" t="s">
        <v>166</v>
      </c>
      <c r="O100" t="s">
        <v>97</v>
      </c>
      <c r="P100" t="s">
        <v>238</v>
      </c>
      <c r="R100" t="str">
        <f>VLOOKUP(N100,dir!B:B,1,0)</f>
        <v>36265</v>
      </c>
    </row>
    <row r="101" spans="1:18" x14ac:dyDescent="0.3">
      <c r="A101" t="s">
        <v>74</v>
      </c>
      <c r="B101">
        <v>1</v>
      </c>
      <c r="E101" t="str">
        <f t="shared" si="6"/>
        <v>2021</v>
      </c>
      <c r="F101" t="str">
        <f t="shared" si="7"/>
        <v>29751</v>
      </c>
      <c r="G101">
        <f t="shared" si="8"/>
        <v>22</v>
      </c>
      <c r="H101" t="str">
        <f t="shared" si="9"/>
        <v>Woodward 2021</v>
      </c>
      <c r="I101">
        <f t="shared" si="10"/>
        <v>13</v>
      </c>
      <c r="J101" t="str">
        <f t="shared" si="11"/>
        <v>Woodward</v>
      </c>
      <c r="N101" t="s">
        <v>167</v>
      </c>
      <c r="O101" t="s">
        <v>87</v>
      </c>
      <c r="P101" t="s">
        <v>239</v>
      </c>
      <c r="R101" t="str">
        <f>VLOOKUP(N101,dir!B:B,1,0)</f>
        <v>29751</v>
      </c>
    </row>
    <row r="102" spans="1:18" x14ac:dyDescent="0.3">
      <c r="A102" t="s">
        <v>75</v>
      </c>
      <c r="B102">
        <v>1</v>
      </c>
      <c r="E102" t="str">
        <f t="shared" si="6"/>
        <v>2023</v>
      </c>
      <c r="F102" t="str">
        <f t="shared" si="7"/>
        <v>28005</v>
      </c>
      <c r="G102">
        <f t="shared" si="8"/>
        <v>21</v>
      </c>
      <c r="H102" t="str">
        <f t="shared" si="9"/>
        <v>Yanchis 2023</v>
      </c>
      <c r="I102">
        <f t="shared" si="10"/>
        <v>12</v>
      </c>
      <c r="J102" t="str">
        <f t="shared" si="11"/>
        <v>Yanchis</v>
      </c>
      <c r="N102" t="s">
        <v>168</v>
      </c>
      <c r="O102" t="s">
        <v>93</v>
      </c>
      <c r="P102" t="s">
        <v>240</v>
      </c>
      <c r="R102" t="str">
        <f>VLOOKUP(N102,dir!B:B,1,0)</f>
        <v>28005</v>
      </c>
    </row>
    <row r="103" spans="1:18" x14ac:dyDescent="0.3">
      <c r="A103" t="s">
        <v>76</v>
      </c>
      <c r="B103">
        <v>1</v>
      </c>
      <c r="E103" t="str">
        <f t="shared" si="6"/>
        <v>2020</v>
      </c>
      <c r="F103" t="str">
        <f t="shared" si="7"/>
        <v>28214</v>
      </c>
      <c r="G103">
        <f t="shared" si="8"/>
        <v>21</v>
      </c>
      <c r="H103" t="str">
        <f t="shared" si="9"/>
        <v>Zambone 2020</v>
      </c>
      <c r="I103">
        <f t="shared" si="10"/>
        <v>12</v>
      </c>
      <c r="J103" t="str">
        <f t="shared" si="11"/>
        <v>Zambone</v>
      </c>
      <c r="N103" t="s">
        <v>169</v>
      </c>
      <c r="O103" t="s">
        <v>97</v>
      </c>
      <c r="P103" t="s">
        <v>241</v>
      </c>
      <c r="R103" t="str">
        <f>VLOOKUP(N103,dir!B:B,1,0)</f>
        <v>28214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3"/>
  <sheetViews>
    <sheetView workbookViewId="0">
      <selection activeCell="B9" sqref="B9"/>
    </sheetView>
  </sheetViews>
  <sheetFormatPr defaultRowHeight="14.4" x14ac:dyDescent="0.3"/>
  <cols>
    <col min="1" max="1" width="22" customWidth="1"/>
    <col min="3" max="3" width="10.109375" bestFit="1" customWidth="1"/>
    <col min="4" max="4" width="4.88671875" customWidth="1"/>
  </cols>
  <sheetData>
    <row r="3" spans="1:4" x14ac:dyDescent="0.3">
      <c r="A3" s="2" t="s">
        <v>244</v>
      </c>
    </row>
    <row r="4" spans="1:4" x14ac:dyDescent="0.3">
      <c r="A4" s="2" t="s">
        <v>82</v>
      </c>
      <c r="B4" s="2" t="s">
        <v>84</v>
      </c>
      <c r="C4" s="2" t="s">
        <v>83</v>
      </c>
      <c r="D4" t="s">
        <v>245</v>
      </c>
    </row>
    <row r="5" spans="1:4" x14ac:dyDescent="0.3">
      <c r="A5" t="s">
        <v>97</v>
      </c>
      <c r="B5" t="s">
        <v>176</v>
      </c>
      <c r="C5" t="s">
        <v>98</v>
      </c>
      <c r="D5" s="4">
        <v>1</v>
      </c>
    </row>
    <row r="6" spans="1:4" x14ac:dyDescent="0.3">
      <c r="B6" t="s">
        <v>184</v>
      </c>
      <c r="C6" t="s">
        <v>108</v>
      </c>
      <c r="D6" s="4">
        <v>1</v>
      </c>
    </row>
    <row r="7" spans="1:4" x14ac:dyDescent="0.3">
      <c r="B7" t="s">
        <v>192</v>
      </c>
      <c r="C7" t="s">
        <v>116</v>
      </c>
      <c r="D7" s="4">
        <v>1</v>
      </c>
    </row>
    <row r="8" spans="1:4" x14ac:dyDescent="0.3">
      <c r="B8" t="s">
        <v>194</v>
      </c>
      <c r="C8" t="s">
        <v>119</v>
      </c>
      <c r="D8" s="4">
        <v>2</v>
      </c>
    </row>
    <row r="9" spans="1:4" x14ac:dyDescent="0.3">
      <c r="B9" t="s">
        <v>200</v>
      </c>
      <c r="C9" t="s">
        <v>125</v>
      </c>
      <c r="D9" s="4">
        <v>2</v>
      </c>
    </row>
    <row r="10" spans="1:4" x14ac:dyDescent="0.3">
      <c r="B10" t="s">
        <v>202</v>
      </c>
      <c r="C10" t="s">
        <v>127</v>
      </c>
      <c r="D10" s="4">
        <v>2</v>
      </c>
    </row>
    <row r="11" spans="1:4" x14ac:dyDescent="0.3">
      <c r="B11" t="s">
        <v>203</v>
      </c>
      <c r="C11" t="s">
        <v>128</v>
      </c>
      <c r="D11" s="4">
        <v>2</v>
      </c>
    </row>
    <row r="12" spans="1:4" x14ac:dyDescent="0.3">
      <c r="B12" t="s">
        <v>204</v>
      </c>
      <c r="C12" t="s">
        <v>129</v>
      </c>
      <c r="D12" s="4">
        <v>2</v>
      </c>
    </row>
    <row r="13" spans="1:4" x14ac:dyDescent="0.3">
      <c r="B13" t="s">
        <v>209</v>
      </c>
      <c r="C13" t="s">
        <v>134</v>
      </c>
      <c r="D13" s="4">
        <v>2</v>
      </c>
    </row>
    <row r="14" spans="1:4" x14ac:dyDescent="0.3">
      <c r="B14" t="s">
        <v>223</v>
      </c>
      <c r="C14" t="s">
        <v>149</v>
      </c>
      <c r="D14" s="4">
        <v>1</v>
      </c>
    </row>
    <row r="15" spans="1:4" x14ac:dyDescent="0.3">
      <c r="B15" t="s">
        <v>230</v>
      </c>
      <c r="C15" t="s">
        <v>158</v>
      </c>
      <c r="D15" s="4">
        <v>1</v>
      </c>
    </row>
    <row r="16" spans="1:4" x14ac:dyDescent="0.3">
      <c r="B16" t="s">
        <v>238</v>
      </c>
      <c r="C16" t="s">
        <v>166</v>
      </c>
      <c r="D16" s="4">
        <v>1</v>
      </c>
    </row>
    <row r="17" spans="1:4" x14ac:dyDescent="0.3">
      <c r="B17" t="s">
        <v>241</v>
      </c>
      <c r="C17" t="s">
        <v>169</v>
      </c>
      <c r="D17" s="4">
        <v>1</v>
      </c>
    </row>
    <row r="18" spans="1:4" x14ac:dyDescent="0.3">
      <c r="A18" t="s">
        <v>87</v>
      </c>
      <c r="B18" t="s">
        <v>170</v>
      </c>
      <c r="C18" t="s">
        <v>88</v>
      </c>
      <c r="D18" s="4">
        <v>1</v>
      </c>
    </row>
    <row r="19" spans="1:4" x14ac:dyDescent="0.3">
      <c r="B19" t="s">
        <v>173</v>
      </c>
      <c r="C19" t="s">
        <v>92</v>
      </c>
      <c r="D19" s="4">
        <v>1</v>
      </c>
    </row>
    <row r="20" spans="1:4" x14ac:dyDescent="0.3">
      <c r="B20" t="s">
        <v>177</v>
      </c>
      <c r="C20" t="s">
        <v>99</v>
      </c>
      <c r="D20" s="4">
        <v>1</v>
      </c>
    </row>
    <row r="21" spans="1:4" x14ac:dyDescent="0.3">
      <c r="B21" t="s">
        <v>180</v>
      </c>
      <c r="C21" t="s">
        <v>102</v>
      </c>
      <c r="D21" s="4">
        <v>1</v>
      </c>
    </row>
    <row r="22" spans="1:4" x14ac:dyDescent="0.3">
      <c r="C22" t="s">
        <v>103</v>
      </c>
      <c r="D22" s="4">
        <v>1</v>
      </c>
    </row>
    <row r="23" spans="1:4" x14ac:dyDescent="0.3">
      <c r="B23" t="s">
        <v>185</v>
      </c>
      <c r="C23" t="s">
        <v>109</v>
      </c>
      <c r="D23" s="4">
        <v>1</v>
      </c>
    </row>
    <row r="24" spans="1:4" x14ac:dyDescent="0.3">
      <c r="B24" t="s">
        <v>186</v>
      </c>
      <c r="C24" t="s">
        <v>110</v>
      </c>
      <c r="D24" s="4">
        <v>1</v>
      </c>
    </row>
    <row r="25" spans="1:4" x14ac:dyDescent="0.3">
      <c r="B25" t="s">
        <v>188</v>
      </c>
      <c r="C25" t="s">
        <v>112</v>
      </c>
      <c r="D25" s="4">
        <v>1</v>
      </c>
    </row>
    <row r="26" spans="1:4" x14ac:dyDescent="0.3">
      <c r="B26" t="s">
        <v>193</v>
      </c>
      <c r="C26" t="s">
        <v>117</v>
      </c>
      <c r="D26" s="4">
        <v>1</v>
      </c>
    </row>
    <row r="27" spans="1:4" x14ac:dyDescent="0.3">
      <c r="B27" t="s">
        <v>197</v>
      </c>
      <c r="C27" t="s">
        <v>122</v>
      </c>
      <c r="D27" s="4">
        <v>2</v>
      </c>
    </row>
    <row r="28" spans="1:4" x14ac:dyDescent="0.3">
      <c r="B28" t="s">
        <v>199</v>
      </c>
      <c r="C28" t="s">
        <v>124</v>
      </c>
      <c r="D28" s="4">
        <v>2</v>
      </c>
    </row>
    <row r="29" spans="1:4" x14ac:dyDescent="0.3">
      <c r="B29" t="s">
        <v>210</v>
      </c>
      <c r="C29" t="s">
        <v>135</v>
      </c>
      <c r="D29" s="4">
        <v>2</v>
      </c>
    </row>
    <row r="30" spans="1:4" x14ac:dyDescent="0.3">
      <c r="B30" t="s">
        <v>211</v>
      </c>
      <c r="C30" t="s">
        <v>136</v>
      </c>
      <c r="D30" s="4">
        <v>2</v>
      </c>
    </row>
    <row r="31" spans="1:4" x14ac:dyDescent="0.3">
      <c r="B31" t="s">
        <v>213</v>
      </c>
      <c r="C31" t="s">
        <v>138</v>
      </c>
      <c r="D31" s="4">
        <v>2</v>
      </c>
    </row>
    <row r="32" spans="1:4" x14ac:dyDescent="0.3">
      <c r="B32" t="s">
        <v>218</v>
      </c>
      <c r="C32" t="s">
        <v>144</v>
      </c>
      <c r="D32" s="4">
        <v>1</v>
      </c>
    </row>
    <row r="33" spans="1:4" x14ac:dyDescent="0.3">
      <c r="B33" t="s">
        <v>219</v>
      </c>
      <c r="C33" t="s">
        <v>145</v>
      </c>
      <c r="D33" s="4">
        <v>1</v>
      </c>
    </row>
    <row r="34" spans="1:4" x14ac:dyDescent="0.3">
      <c r="B34" t="s">
        <v>225</v>
      </c>
      <c r="C34" t="s">
        <v>151</v>
      </c>
      <c r="D34" s="4">
        <v>1</v>
      </c>
    </row>
    <row r="35" spans="1:4" x14ac:dyDescent="0.3">
      <c r="B35" t="s">
        <v>227</v>
      </c>
      <c r="C35" t="s">
        <v>153</v>
      </c>
      <c r="D35" s="4">
        <v>1</v>
      </c>
    </row>
    <row r="36" spans="1:4" x14ac:dyDescent="0.3">
      <c r="B36" t="s">
        <v>234</v>
      </c>
      <c r="C36" t="s">
        <v>162</v>
      </c>
      <c r="D36" s="4">
        <v>1</v>
      </c>
    </row>
    <row r="37" spans="1:4" x14ac:dyDescent="0.3">
      <c r="B37" t="s">
        <v>235</v>
      </c>
      <c r="C37" t="s">
        <v>163</v>
      </c>
      <c r="D37" s="4">
        <v>1</v>
      </c>
    </row>
    <row r="38" spans="1:4" x14ac:dyDescent="0.3">
      <c r="B38" t="s">
        <v>239</v>
      </c>
      <c r="C38" t="s">
        <v>167</v>
      </c>
      <c r="D38" s="4">
        <v>1</v>
      </c>
    </row>
    <row r="39" spans="1:4" x14ac:dyDescent="0.3">
      <c r="A39" t="s">
        <v>95</v>
      </c>
      <c r="B39" t="s">
        <v>175</v>
      </c>
      <c r="C39" t="s">
        <v>96</v>
      </c>
      <c r="D39" s="4">
        <v>1</v>
      </c>
    </row>
    <row r="40" spans="1:4" x14ac:dyDescent="0.3">
      <c r="B40" t="s">
        <v>179</v>
      </c>
      <c r="C40" t="s">
        <v>101</v>
      </c>
      <c r="D40" s="4">
        <v>1</v>
      </c>
    </row>
    <row r="41" spans="1:4" x14ac:dyDescent="0.3">
      <c r="B41" t="s">
        <v>187</v>
      </c>
      <c r="C41" t="s">
        <v>111</v>
      </c>
      <c r="D41" s="4">
        <v>1</v>
      </c>
    </row>
    <row r="42" spans="1:4" x14ac:dyDescent="0.3">
      <c r="B42" t="s">
        <v>189</v>
      </c>
      <c r="C42" t="s">
        <v>113</v>
      </c>
      <c r="D42" s="4">
        <v>1</v>
      </c>
    </row>
    <row r="43" spans="1:4" x14ac:dyDescent="0.3">
      <c r="B43" t="s">
        <v>194</v>
      </c>
      <c r="C43" t="s">
        <v>118</v>
      </c>
      <c r="D43" s="4">
        <v>2</v>
      </c>
    </row>
    <row r="44" spans="1:4" x14ac:dyDescent="0.3">
      <c r="B44" t="s">
        <v>196</v>
      </c>
      <c r="C44" t="s">
        <v>121</v>
      </c>
      <c r="D44" s="4">
        <v>2</v>
      </c>
    </row>
    <row r="45" spans="1:4" x14ac:dyDescent="0.3">
      <c r="B45" t="s">
        <v>198</v>
      </c>
      <c r="C45" t="s">
        <v>123</v>
      </c>
      <c r="D45" s="4">
        <v>2</v>
      </c>
    </row>
    <row r="46" spans="1:4" x14ac:dyDescent="0.3">
      <c r="B46" t="s">
        <v>206</v>
      </c>
      <c r="C46" t="s">
        <v>131</v>
      </c>
      <c r="D46" s="4">
        <v>2</v>
      </c>
    </row>
    <row r="47" spans="1:4" x14ac:dyDescent="0.3">
      <c r="B47" t="s">
        <v>208</v>
      </c>
      <c r="C47" t="s">
        <v>133</v>
      </c>
      <c r="D47" s="4">
        <v>2</v>
      </c>
    </row>
    <row r="48" spans="1:4" x14ac:dyDescent="0.3">
      <c r="B48" t="s">
        <v>212</v>
      </c>
      <c r="C48" t="s">
        <v>137</v>
      </c>
      <c r="D48" s="4">
        <v>2</v>
      </c>
    </row>
    <row r="49" spans="1:4" x14ac:dyDescent="0.3">
      <c r="B49" t="s">
        <v>215</v>
      </c>
      <c r="C49" t="s">
        <v>140</v>
      </c>
      <c r="D49" s="4">
        <v>2</v>
      </c>
    </row>
    <row r="50" spans="1:4" x14ac:dyDescent="0.3">
      <c r="B50" t="s">
        <v>216</v>
      </c>
      <c r="C50" t="s">
        <v>141</v>
      </c>
      <c r="D50" s="4">
        <v>2</v>
      </c>
    </row>
    <row r="51" spans="1:4" x14ac:dyDescent="0.3">
      <c r="B51" t="s">
        <v>224</v>
      </c>
      <c r="C51" t="s">
        <v>150</v>
      </c>
      <c r="D51" s="4">
        <v>1</v>
      </c>
    </row>
    <row r="52" spans="1:4" x14ac:dyDescent="0.3">
      <c r="B52" t="s">
        <v>226</v>
      </c>
      <c r="C52" t="s">
        <v>152</v>
      </c>
      <c r="D52" s="4">
        <v>1</v>
      </c>
    </row>
    <row r="53" spans="1:4" x14ac:dyDescent="0.3">
      <c r="B53" t="s">
        <v>228</v>
      </c>
      <c r="C53" t="s">
        <v>154</v>
      </c>
      <c r="D53" s="4">
        <v>1</v>
      </c>
    </row>
    <row r="54" spans="1:4" x14ac:dyDescent="0.3">
      <c r="B54" t="s">
        <v>230</v>
      </c>
      <c r="C54" t="s">
        <v>156</v>
      </c>
      <c r="D54" s="4">
        <v>1</v>
      </c>
    </row>
    <row r="55" spans="1:4" x14ac:dyDescent="0.3">
      <c r="B55" t="s">
        <v>231</v>
      </c>
      <c r="C55" t="s">
        <v>159</v>
      </c>
      <c r="D55" s="4">
        <v>1</v>
      </c>
    </row>
    <row r="56" spans="1:4" x14ac:dyDescent="0.3">
      <c r="B56" t="s">
        <v>232</v>
      </c>
      <c r="C56" t="s">
        <v>160</v>
      </c>
      <c r="D56" s="4">
        <v>1</v>
      </c>
    </row>
    <row r="57" spans="1:4" x14ac:dyDescent="0.3">
      <c r="B57" t="s">
        <v>233</v>
      </c>
      <c r="C57" t="s">
        <v>161</v>
      </c>
      <c r="D57" s="4">
        <v>1</v>
      </c>
    </row>
    <row r="58" spans="1:4" x14ac:dyDescent="0.3">
      <c r="B58" t="s">
        <v>236</v>
      </c>
      <c r="C58" t="s">
        <v>164</v>
      </c>
      <c r="D58" s="4">
        <v>1</v>
      </c>
    </row>
    <row r="59" spans="1:4" x14ac:dyDescent="0.3">
      <c r="A59" t="s">
        <v>93</v>
      </c>
      <c r="B59" t="s">
        <v>174</v>
      </c>
      <c r="C59" t="s">
        <v>94</v>
      </c>
      <c r="D59" s="4">
        <v>1</v>
      </c>
    </row>
    <row r="60" spans="1:4" x14ac:dyDescent="0.3">
      <c r="B60" t="s">
        <v>178</v>
      </c>
      <c r="C60" t="s">
        <v>100</v>
      </c>
      <c r="D60" s="4">
        <v>1</v>
      </c>
    </row>
    <row r="61" spans="1:4" x14ac:dyDescent="0.3">
      <c r="B61" t="s">
        <v>190</v>
      </c>
      <c r="C61" t="s">
        <v>114</v>
      </c>
      <c r="D61" s="4">
        <v>1</v>
      </c>
    </row>
    <row r="62" spans="1:4" x14ac:dyDescent="0.3">
      <c r="B62" t="s">
        <v>201</v>
      </c>
      <c r="C62" t="s">
        <v>126</v>
      </c>
      <c r="D62" s="4">
        <v>2</v>
      </c>
    </row>
    <row r="63" spans="1:4" x14ac:dyDescent="0.3">
      <c r="B63" t="s">
        <v>217</v>
      </c>
      <c r="C63" t="s">
        <v>143</v>
      </c>
      <c r="D63" s="4">
        <v>1</v>
      </c>
    </row>
    <row r="64" spans="1:4" x14ac:dyDescent="0.3">
      <c r="B64" t="s">
        <v>222</v>
      </c>
      <c r="C64" t="s">
        <v>148</v>
      </c>
      <c r="D64" s="4">
        <v>1</v>
      </c>
    </row>
    <row r="65" spans="1:4" x14ac:dyDescent="0.3">
      <c r="B65" t="s">
        <v>229</v>
      </c>
      <c r="C65" t="s">
        <v>155</v>
      </c>
      <c r="D65" s="4">
        <v>1</v>
      </c>
    </row>
    <row r="66" spans="1:4" x14ac:dyDescent="0.3">
      <c r="B66" t="s">
        <v>230</v>
      </c>
      <c r="C66" t="s">
        <v>157</v>
      </c>
      <c r="D66" s="4">
        <v>1</v>
      </c>
    </row>
    <row r="67" spans="1:4" x14ac:dyDescent="0.3">
      <c r="B67" t="s">
        <v>240</v>
      </c>
      <c r="C67" t="s">
        <v>168</v>
      </c>
      <c r="D67" s="4">
        <v>1</v>
      </c>
    </row>
    <row r="68" spans="1:4" x14ac:dyDescent="0.3">
      <c r="A68" t="s">
        <v>89</v>
      </c>
      <c r="B68" t="s">
        <v>171</v>
      </c>
      <c r="C68" t="s">
        <v>90</v>
      </c>
      <c r="D68" s="4">
        <v>1</v>
      </c>
    </row>
    <row r="69" spans="1:4" x14ac:dyDescent="0.3">
      <c r="B69" t="s">
        <v>172</v>
      </c>
      <c r="C69" t="s">
        <v>91</v>
      </c>
      <c r="D69" s="4">
        <v>1</v>
      </c>
    </row>
    <row r="70" spans="1:4" x14ac:dyDescent="0.3">
      <c r="B70" t="s">
        <v>182</v>
      </c>
      <c r="C70" t="s">
        <v>106</v>
      </c>
      <c r="D70" s="4">
        <v>1</v>
      </c>
    </row>
    <row r="71" spans="1:4" x14ac:dyDescent="0.3">
      <c r="B71" t="s">
        <v>183</v>
      </c>
      <c r="C71" t="s">
        <v>107</v>
      </c>
      <c r="D71" s="4">
        <v>1</v>
      </c>
    </row>
    <row r="72" spans="1:4" x14ac:dyDescent="0.3">
      <c r="B72" t="s">
        <v>191</v>
      </c>
      <c r="C72" t="s">
        <v>115</v>
      </c>
      <c r="D72" s="4">
        <v>1</v>
      </c>
    </row>
    <row r="73" spans="1:4" x14ac:dyDescent="0.3">
      <c r="B73" t="s">
        <v>205</v>
      </c>
      <c r="C73" t="s">
        <v>130</v>
      </c>
      <c r="D73" s="4">
        <v>2</v>
      </c>
    </row>
    <row r="74" spans="1:4" x14ac:dyDescent="0.3">
      <c r="B74" t="s">
        <v>207</v>
      </c>
      <c r="C74" t="s">
        <v>132</v>
      </c>
      <c r="D74" s="4">
        <v>2</v>
      </c>
    </row>
    <row r="75" spans="1:4" x14ac:dyDescent="0.3">
      <c r="B75" t="s">
        <v>214</v>
      </c>
      <c r="C75" t="s">
        <v>139</v>
      </c>
      <c r="D75" s="4">
        <v>2</v>
      </c>
    </row>
    <row r="76" spans="1:4" x14ac:dyDescent="0.3">
      <c r="B76" t="s">
        <v>220</v>
      </c>
      <c r="C76" t="s">
        <v>146</v>
      </c>
      <c r="D76" s="4">
        <v>1</v>
      </c>
    </row>
    <row r="77" spans="1:4" x14ac:dyDescent="0.3">
      <c r="A77" t="s">
        <v>104</v>
      </c>
      <c r="B77" t="s">
        <v>181</v>
      </c>
      <c r="C77" t="s">
        <v>105</v>
      </c>
      <c r="D77" s="4">
        <v>1</v>
      </c>
    </row>
    <row r="78" spans="1:4" x14ac:dyDescent="0.3">
      <c r="B78" t="s">
        <v>195</v>
      </c>
      <c r="C78" t="s">
        <v>120</v>
      </c>
      <c r="D78" s="4">
        <v>2</v>
      </c>
    </row>
    <row r="79" spans="1:4" x14ac:dyDescent="0.3">
      <c r="B79" t="s">
        <v>217</v>
      </c>
      <c r="C79" t="s">
        <v>142</v>
      </c>
      <c r="D79" s="4">
        <v>2</v>
      </c>
    </row>
    <row r="80" spans="1:4" x14ac:dyDescent="0.3">
      <c r="B80" t="s">
        <v>221</v>
      </c>
      <c r="C80" t="s">
        <v>147</v>
      </c>
      <c r="D80" s="4">
        <v>1</v>
      </c>
    </row>
    <row r="81" spans="1:4" x14ac:dyDescent="0.3">
      <c r="B81" t="s">
        <v>237</v>
      </c>
      <c r="C81" t="s">
        <v>165</v>
      </c>
      <c r="D81" s="4">
        <v>1</v>
      </c>
    </row>
    <row r="82" spans="1:4" x14ac:dyDescent="0.3">
      <c r="A82" t="s">
        <v>242</v>
      </c>
      <c r="B82" t="s">
        <v>242</v>
      </c>
      <c r="C82" t="s">
        <v>242</v>
      </c>
      <c r="D82" s="4"/>
    </row>
    <row r="83" spans="1:4" x14ac:dyDescent="0.3">
      <c r="A83" t="s">
        <v>80</v>
      </c>
      <c r="D83" s="4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selection activeCell="D2" sqref="D2:D103"/>
    </sheetView>
  </sheetViews>
  <sheetFormatPr defaultRowHeight="14.4" x14ac:dyDescent="0.3"/>
  <cols>
    <col min="3" max="3" width="17.5546875" bestFit="1" customWidth="1"/>
  </cols>
  <sheetData>
    <row r="1" spans="1:4" x14ac:dyDescent="0.3">
      <c r="A1" t="s">
        <v>83</v>
      </c>
      <c r="B1" t="s">
        <v>82</v>
      </c>
      <c r="C1" t="s">
        <v>84</v>
      </c>
      <c r="D1" t="s">
        <v>243</v>
      </c>
    </row>
    <row r="2" spans="1:4" x14ac:dyDescent="0.3">
      <c r="A2" t="s">
        <v>88</v>
      </c>
      <c r="B2" t="s">
        <v>87</v>
      </c>
      <c r="C2" t="s">
        <v>170</v>
      </c>
      <c r="D2">
        <v>1</v>
      </c>
    </row>
    <row r="3" spans="1:4" x14ac:dyDescent="0.3">
      <c r="A3" t="s">
        <v>90</v>
      </c>
      <c r="B3" t="s">
        <v>89</v>
      </c>
      <c r="C3" t="s">
        <v>171</v>
      </c>
      <c r="D3">
        <v>1</v>
      </c>
    </row>
    <row r="4" spans="1:4" x14ac:dyDescent="0.3">
      <c r="A4" t="s">
        <v>91</v>
      </c>
      <c r="B4" t="s">
        <v>89</v>
      </c>
      <c r="C4" t="s">
        <v>172</v>
      </c>
      <c r="D4">
        <v>1</v>
      </c>
    </row>
    <row r="5" spans="1:4" x14ac:dyDescent="0.3">
      <c r="A5" t="s">
        <v>92</v>
      </c>
      <c r="B5" t="s">
        <v>87</v>
      </c>
      <c r="C5" t="s">
        <v>173</v>
      </c>
      <c r="D5">
        <v>1</v>
      </c>
    </row>
    <row r="6" spans="1:4" x14ac:dyDescent="0.3">
      <c r="A6" t="s">
        <v>94</v>
      </c>
      <c r="B6" t="s">
        <v>93</v>
      </c>
      <c r="C6" t="s">
        <v>174</v>
      </c>
      <c r="D6">
        <v>1</v>
      </c>
    </row>
    <row r="7" spans="1:4" x14ac:dyDescent="0.3">
      <c r="A7" t="s">
        <v>96</v>
      </c>
      <c r="B7" t="s">
        <v>95</v>
      </c>
      <c r="C7" t="s">
        <v>175</v>
      </c>
      <c r="D7">
        <v>1</v>
      </c>
    </row>
    <row r="8" spans="1:4" x14ac:dyDescent="0.3">
      <c r="A8" t="s">
        <v>98</v>
      </c>
      <c r="B8" t="s">
        <v>97</v>
      </c>
      <c r="C8" t="s">
        <v>176</v>
      </c>
      <c r="D8">
        <v>1</v>
      </c>
    </row>
    <row r="9" spans="1:4" x14ac:dyDescent="0.3">
      <c r="A9" t="s">
        <v>99</v>
      </c>
      <c r="B9" t="s">
        <v>87</v>
      </c>
      <c r="C9" t="s">
        <v>177</v>
      </c>
      <c r="D9">
        <v>1</v>
      </c>
    </row>
    <row r="10" spans="1:4" x14ac:dyDescent="0.3">
      <c r="A10" t="s">
        <v>100</v>
      </c>
      <c r="B10" t="s">
        <v>93</v>
      </c>
      <c r="C10" t="s">
        <v>178</v>
      </c>
      <c r="D10">
        <v>1</v>
      </c>
    </row>
    <row r="11" spans="1:4" x14ac:dyDescent="0.3">
      <c r="A11" t="s">
        <v>101</v>
      </c>
      <c r="B11" t="s">
        <v>95</v>
      </c>
      <c r="C11" t="s">
        <v>179</v>
      </c>
      <c r="D11">
        <v>1</v>
      </c>
    </row>
    <row r="12" spans="1:4" x14ac:dyDescent="0.3">
      <c r="A12" t="s">
        <v>102</v>
      </c>
      <c r="B12" t="s">
        <v>87</v>
      </c>
      <c r="C12" t="s">
        <v>180</v>
      </c>
      <c r="D12">
        <v>1</v>
      </c>
    </row>
    <row r="13" spans="1:4" x14ac:dyDescent="0.3">
      <c r="A13" t="s">
        <v>103</v>
      </c>
      <c r="B13" t="s">
        <v>87</v>
      </c>
      <c r="C13" t="s">
        <v>180</v>
      </c>
      <c r="D13">
        <v>1</v>
      </c>
    </row>
    <row r="14" spans="1:4" x14ac:dyDescent="0.3">
      <c r="A14" t="s">
        <v>105</v>
      </c>
      <c r="B14" t="s">
        <v>104</v>
      </c>
      <c r="C14" t="s">
        <v>181</v>
      </c>
      <c r="D14">
        <v>1</v>
      </c>
    </row>
    <row r="15" spans="1:4" x14ac:dyDescent="0.3">
      <c r="A15" t="s">
        <v>106</v>
      </c>
      <c r="B15" t="s">
        <v>89</v>
      </c>
      <c r="C15" t="s">
        <v>182</v>
      </c>
      <c r="D15">
        <v>1</v>
      </c>
    </row>
    <row r="16" spans="1:4" x14ac:dyDescent="0.3">
      <c r="A16" t="s">
        <v>107</v>
      </c>
      <c r="B16" t="s">
        <v>89</v>
      </c>
      <c r="C16" t="s">
        <v>183</v>
      </c>
      <c r="D16">
        <v>1</v>
      </c>
    </row>
    <row r="17" spans="1:4" x14ac:dyDescent="0.3">
      <c r="A17" t="s">
        <v>108</v>
      </c>
      <c r="B17" t="s">
        <v>97</v>
      </c>
      <c r="C17" t="s">
        <v>184</v>
      </c>
      <c r="D17">
        <v>1</v>
      </c>
    </row>
    <row r="18" spans="1:4" x14ac:dyDescent="0.3">
      <c r="A18" t="s">
        <v>109</v>
      </c>
      <c r="B18" t="s">
        <v>87</v>
      </c>
      <c r="C18" t="s">
        <v>185</v>
      </c>
      <c r="D18">
        <v>1</v>
      </c>
    </row>
    <row r="19" spans="1:4" x14ac:dyDescent="0.3">
      <c r="A19" t="s">
        <v>110</v>
      </c>
      <c r="B19" t="s">
        <v>87</v>
      </c>
      <c r="C19" t="s">
        <v>186</v>
      </c>
      <c r="D19">
        <v>1</v>
      </c>
    </row>
    <row r="20" spans="1:4" x14ac:dyDescent="0.3">
      <c r="A20" t="s">
        <v>111</v>
      </c>
      <c r="B20" t="s">
        <v>95</v>
      </c>
      <c r="C20" t="s">
        <v>187</v>
      </c>
      <c r="D20">
        <v>1</v>
      </c>
    </row>
    <row r="21" spans="1:4" x14ac:dyDescent="0.3">
      <c r="A21" t="s">
        <v>112</v>
      </c>
      <c r="B21" t="s">
        <v>87</v>
      </c>
      <c r="C21" t="s">
        <v>188</v>
      </c>
      <c r="D21">
        <v>1</v>
      </c>
    </row>
    <row r="22" spans="1:4" x14ac:dyDescent="0.3">
      <c r="A22" t="s">
        <v>113</v>
      </c>
      <c r="B22" t="s">
        <v>95</v>
      </c>
      <c r="C22" t="s">
        <v>189</v>
      </c>
      <c r="D22">
        <v>1</v>
      </c>
    </row>
    <row r="23" spans="1:4" x14ac:dyDescent="0.3">
      <c r="A23" t="s">
        <v>114</v>
      </c>
      <c r="B23" t="s">
        <v>93</v>
      </c>
      <c r="C23" t="s">
        <v>190</v>
      </c>
      <c r="D23">
        <v>1</v>
      </c>
    </row>
    <row r="24" spans="1:4" x14ac:dyDescent="0.3">
      <c r="A24" t="s">
        <v>115</v>
      </c>
      <c r="B24" t="s">
        <v>89</v>
      </c>
      <c r="C24" t="s">
        <v>191</v>
      </c>
      <c r="D24">
        <v>1</v>
      </c>
    </row>
    <row r="25" spans="1:4" x14ac:dyDescent="0.3">
      <c r="A25" t="s">
        <v>116</v>
      </c>
      <c r="B25" t="s">
        <v>97</v>
      </c>
      <c r="C25" t="s">
        <v>192</v>
      </c>
      <c r="D25">
        <v>1</v>
      </c>
    </row>
    <row r="26" spans="1:4" x14ac:dyDescent="0.3">
      <c r="A26" t="s">
        <v>117</v>
      </c>
      <c r="B26" t="s">
        <v>87</v>
      </c>
      <c r="C26" t="s">
        <v>193</v>
      </c>
      <c r="D26">
        <v>1</v>
      </c>
    </row>
    <row r="27" spans="1:4" x14ac:dyDescent="0.3">
      <c r="A27" t="s">
        <v>118</v>
      </c>
      <c r="B27" t="s">
        <v>95</v>
      </c>
      <c r="C27" t="s">
        <v>194</v>
      </c>
      <c r="D27">
        <v>1</v>
      </c>
    </row>
    <row r="28" spans="1:4" x14ac:dyDescent="0.3">
      <c r="A28" t="s">
        <v>119</v>
      </c>
      <c r="B28" t="s">
        <v>97</v>
      </c>
      <c r="C28" t="s">
        <v>194</v>
      </c>
      <c r="D28">
        <v>1</v>
      </c>
    </row>
    <row r="29" spans="1:4" x14ac:dyDescent="0.3">
      <c r="A29" t="s">
        <v>120</v>
      </c>
      <c r="B29" t="s">
        <v>104</v>
      </c>
      <c r="C29" t="s">
        <v>195</v>
      </c>
      <c r="D29">
        <v>1</v>
      </c>
    </row>
    <row r="30" spans="1:4" x14ac:dyDescent="0.3">
      <c r="A30" t="s">
        <v>121</v>
      </c>
      <c r="B30" t="s">
        <v>95</v>
      </c>
      <c r="C30" t="s">
        <v>196</v>
      </c>
      <c r="D30">
        <v>1</v>
      </c>
    </row>
    <row r="31" spans="1:4" x14ac:dyDescent="0.3">
      <c r="A31" t="s">
        <v>122</v>
      </c>
      <c r="B31" t="s">
        <v>87</v>
      </c>
      <c r="C31" t="s">
        <v>197</v>
      </c>
      <c r="D31">
        <v>1</v>
      </c>
    </row>
    <row r="32" spans="1:4" x14ac:dyDescent="0.3">
      <c r="A32" t="s">
        <v>123</v>
      </c>
      <c r="B32" t="s">
        <v>95</v>
      </c>
      <c r="C32" t="s">
        <v>198</v>
      </c>
      <c r="D32">
        <v>1</v>
      </c>
    </row>
    <row r="33" spans="1:4" x14ac:dyDescent="0.3">
      <c r="A33" t="s">
        <v>124</v>
      </c>
      <c r="B33" t="s">
        <v>87</v>
      </c>
      <c r="C33" t="s">
        <v>199</v>
      </c>
      <c r="D33">
        <v>1</v>
      </c>
    </row>
    <row r="34" spans="1:4" x14ac:dyDescent="0.3">
      <c r="A34" t="s">
        <v>125</v>
      </c>
      <c r="B34" t="s">
        <v>97</v>
      </c>
      <c r="C34" t="s">
        <v>200</v>
      </c>
      <c r="D34">
        <v>1</v>
      </c>
    </row>
    <row r="35" spans="1:4" x14ac:dyDescent="0.3">
      <c r="A35" t="s">
        <v>126</v>
      </c>
      <c r="B35" t="s">
        <v>93</v>
      </c>
      <c r="C35" t="s">
        <v>201</v>
      </c>
      <c r="D35">
        <v>1</v>
      </c>
    </row>
    <row r="36" spans="1:4" x14ac:dyDescent="0.3">
      <c r="A36" t="s">
        <v>127</v>
      </c>
      <c r="B36" t="s">
        <v>97</v>
      </c>
      <c r="C36" t="s">
        <v>202</v>
      </c>
      <c r="D36">
        <v>1</v>
      </c>
    </row>
    <row r="37" spans="1:4" x14ac:dyDescent="0.3">
      <c r="A37" t="s">
        <v>128</v>
      </c>
      <c r="B37" t="s">
        <v>97</v>
      </c>
      <c r="C37" t="s">
        <v>203</v>
      </c>
      <c r="D37">
        <v>1</v>
      </c>
    </row>
    <row r="38" spans="1:4" x14ac:dyDescent="0.3">
      <c r="A38" t="s">
        <v>129</v>
      </c>
      <c r="B38" t="s">
        <v>97</v>
      </c>
      <c r="C38" t="s">
        <v>204</v>
      </c>
      <c r="D38">
        <v>1</v>
      </c>
    </row>
    <row r="39" spans="1:4" x14ac:dyDescent="0.3">
      <c r="A39" t="s">
        <v>130</v>
      </c>
      <c r="B39" t="s">
        <v>89</v>
      </c>
      <c r="C39" t="s">
        <v>205</v>
      </c>
      <c r="D39">
        <v>1</v>
      </c>
    </row>
    <row r="40" spans="1:4" x14ac:dyDescent="0.3">
      <c r="A40" t="s">
        <v>131</v>
      </c>
      <c r="B40" t="s">
        <v>95</v>
      </c>
      <c r="C40" t="s">
        <v>206</v>
      </c>
      <c r="D40">
        <v>1</v>
      </c>
    </row>
    <row r="41" spans="1:4" x14ac:dyDescent="0.3">
      <c r="A41" t="s">
        <v>132</v>
      </c>
      <c r="B41" t="s">
        <v>89</v>
      </c>
      <c r="C41" t="s">
        <v>207</v>
      </c>
      <c r="D41">
        <v>1</v>
      </c>
    </row>
    <row r="42" spans="1:4" x14ac:dyDescent="0.3">
      <c r="A42" t="s">
        <v>133</v>
      </c>
      <c r="B42" t="s">
        <v>95</v>
      </c>
      <c r="C42" t="s">
        <v>208</v>
      </c>
      <c r="D42">
        <v>1</v>
      </c>
    </row>
    <row r="43" spans="1:4" x14ac:dyDescent="0.3">
      <c r="A43" t="s">
        <v>134</v>
      </c>
      <c r="B43" t="s">
        <v>97</v>
      </c>
      <c r="C43" t="s">
        <v>209</v>
      </c>
      <c r="D43">
        <v>1</v>
      </c>
    </row>
    <row r="44" spans="1:4" x14ac:dyDescent="0.3">
      <c r="A44" t="s">
        <v>135</v>
      </c>
      <c r="B44" t="s">
        <v>87</v>
      </c>
      <c r="C44" t="s">
        <v>210</v>
      </c>
      <c r="D44">
        <v>1</v>
      </c>
    </row>
    <row r="45" spans="1:4" x14ac:dyDescent="0.3">
      <c r="A45" t="s">
        <v>136</v>
      </c>
      <c r="B45" t="s">
        <v>87</v>
      </c>
      <c r="C45" t="s">
        <v>211</v>
      </c>
      <c r="D45">
        <v>1</v>
      </c>
    </row>
    <row r="46" spans="1:4" x14ac:dyDescent="0.3">
      <c r="A46" t="s">
        <v>137</v>
      </c>
      <c r="B46" t="s">
        <v>95</v>
      </c>
      <c r="C46" t="s">
        <v>212</v>
      </c>
      <c r="D46">
        <v>1</v>
      </c>
    </row>
    <row r="47" spans="1:4" x14ac:dyDescent="0.3">
      <c r="A47" t="s">
        <v>138</v>
      </c>
      <c r="B47" t="s">
        <v>87</v>
      </c>
      <c r="C47" t="s">
        <v>213</v>
      </c>
      <c r="D47">
        <v>1</v>
      </c>
    </row>
    <row r="48" spans="1:4" x14ac:dyDescent="0.3">
      <c r="A48" t="s">
        <v>139</v>
      </c>
      <c r="B48" t="s">
        <v>89</v>
      </c>
      <c r="C48" t="s">
        <v>214</v>
      </c>
      <c r="D48">
        <v>1</v>
      </c>
    </row>
    <row r="49" spans="1:4" x14ac:dyDescent="0.3">
      <c r="A49" t="s">
        <v>140</v>
      </c>
      <c r="B49" t="s">
        <v>95</v>
      </c>
      <c r="C49" t="s">
        <v>215</v>
      </c>
      <c r="D49">
        <v>1</v>
      </c>
    </row>
    <row r="50" spans="1:4" x14ac:dyDescent="0.3">
      <c r="A50" t="s">
        <v>141</v>
      </c>
      <c r="B50" t="s">
        <v>95</v>
      </c>
      <c r="C50" t="s">
        <v>216</v>
      </c>
      <c r="D50">
        <v>1</v>
      </c>
    </row>
    <row r="51" spans="1:4" x14ac:dyDescent="0.3">
      <c r="A51" t="s">
        <v>142</v>
      </c>
      <c r="B51" t="s">
        <v>104</v>
      </c>
      <c r="C51" t="s">
        <v>217</v>
      </c>
      <c r="D51">
        <v>1</v>
      </c>
    </row>
    <row r="52" spans="1:4" x14ac:dyDescent="0.3">
      <c r="A52" t="s">
        <v>118</v>
      </c>
      <c r="B52" t="s">
        <v>95</v>
      </c>
      <c r="C52" t="s">
        <v>194</v>
      </c>
      <c r="D52">
        <v>1</v>
      </c>
    </row>
    <row r="53" spans="1:4" x14ac:dyDescent="0.3">
      <c r="A53" t="s">
        <v>119</v>
      </c>
      <c r="B53" t="s">
        <v>97</v>
      </c>
      <c r="C53" t="s">
        <v>194</v>
      </c>
      <c r="D53">
        <v>1</v>
      </c>
    </row>
    <row r="54" spans="1:4" x14ac:dyDescent="0.3">
      <c r="A54" t="s">
        <v>120</v>
      </c>
      <c r="B54" t="s">
        <v>104</v>
      </c>
      <c r="C54" t="s">
        <v>195</v>
      </c>
      <c r="D54">
        <v>1</v>
      </c>
    </row>
    <row r="55" spans="1:4" x14ac:dyDescent="0.3">
      <c r="A55" t="s">
        <v>121</v>
      </c>
      <c r="B55" t="s">
        <v>95</v>
      </c>
      <c r="C55" t="s">
        <v>196</v>
      </c>
      <c r="D55">
        <v>1</v>
      </c>
    </row>
    <row r="56" spans="1:4" x14ac:dyDescent="0.3">
      <c r="A56" t="s">
        <v>122</v>
      </c>
      <c r="B56" t="s">
        <v>87</v>
      </c>
      <c r="C56" t="s">
        <v>197</v>
      </c>
      <c r="D56">
        <v>1</v>
      </c>
    </row>
    <row r="57" spans="1:4" x14ac:dyDescent="0.3">
      <c r="A57" t="s">
        <v>123</v>
      </c>
      <c r="B57" t="s">
        <v>95</v>
      </c>
      <c r="C57" t="s">
        <v>198</v>
      </c>
      <c r="D57">
        <v>1</v>
      </c>
    </row>
    <row r="58" spans="1:4" x14ac:dyDescent="0.3">
      <c r="A58" t="s">
        <v>124</v>
      </c>
      <c r="B58" t="s">
        <v>87</v>
      </c>
      <c r="C58" t="s">
        <v>199</v>
      </c>
      <c r="D58">
        <v>1</v>
      </c>
    </row>
    <row r="59" spans="1:4" x14ac:dyDescent="0.3">
      <c r="A59" t="s">
        <v>125</v>
      </c>
      <c r="B59" t="s">
        <v>97</v>
      </c>
      <c r="C59" t="s">
        <v>200</v>
      </c>
      <c r="D59">
        <v>1</v>
      </c>
    </row>
    <row r="60" spans="1:4" x14ac:dyDescent="0.3">
      <c r="A60" t="s">
        <v>126</v>
      </c>
      <c r="B60" t="s">
        <v>93</v>
      </c>
      <c r="C60" t="s">
        <v>201</v>
      </c>
      <c r="D60">
        <v>1</v>
      </c>
    </row>
    <row r="61" spans="1:4" x14ac:dyDescent="0.3">
      <c r="A61" t="s">
        <v>127</v>
      </c>
      <c r="B61" t="s">
        <v>97</v>
      </c>
      <c r="C61" t="s">
        <v>202</v>
      </c>
      <c r="D61">
        <v>1</v>
      </c>
    </row>
    <row r="62" spans="1:4" x14ac:dyDescent="0.3">
      <c r="A62" t="s">
        <v>128</v>
      </c>
      <c r="B62" t="s">
        <v>97</v>
      </c>
      <c r="C62" t="s">
        <v>203</v>
      </c>
      <c r="D62">
        <v>1</v>
      </c>
    </row>
    <row r="63" spans="1:4" x14ac:dyDescent="0.3">
      <c r="A63" t="s">
        <v>129</v>
      </c>
      <c r="B63" t="s">
        <v>97</v>
      </c>
      <c r="C63" t="s">
        <v>204</v>
      </c>
      <c r="D63">
        <v>1</v>
      </c>
    </row>
    <row r="64" spans="1:4" x14ac:dyDescent="0.3">
      <c r="A64" t="s">
        <v>130</v>
      </c>
      <c r="B64" t="s">
        <v>89</v>
      </c>
      <c r="C64" t="s">
        <v>205</v>
      </c>
      <c r="D64">
        <v>1</v>
      </c>
    </row>
    <row r="65" spans="1:4" x14ac:dyDescent="0.3">
      <c r="A65" t="s">
        <v>131</v>
      </c>
      <c r="B65" t="s">
        <v>95</v>
      </c>
      <c r="C65" t="s">
        <v>206</v>
      </c>
      <c r="D65">
        <v>1</v>
      </c>
    </row>
    <row r="66" spans="1:4" x14ac:dyDescent="0.3">
      <c r="A66" t="s">
        <v>132</v>
      </c>
      <c r="B66" t="s">
        <v>89</v>
      </c>
      <c r="C66" t="s">
        <v>207</v>
      </c>
      <c r="D66">
        <v>1</v>
      </c>
    </row>
    <row r="67" spans="1:4" x14ac:dyDescent="0.3">
      <c r="A67" t="s">
        <v>133</v>
      </c>
      <c r="B67" t="s">
        <v>95</v>
      </c>
      <c r="C67" t="s">
        <v>208</v>
      </c>
      <c r="D67">
        <v>1</v>
      </c>
    </row>
    <row r="68" spans="1:4" x14ac:dyDescent="0.3">
      <c r="A68" t="s">
        <v>134</v>
      </c>
      <c r="B68" t="s">
        <v>97</v>
      </c>
      <c r="C68" t="s">
        <v>209</v>
      </c>
      <c r="D68">
        <v>1</v>
      </c>
    </row>
    <row r="69" spans="1:4" x14ac:dyDescent="0.3">
      <c r="A69" t="s">
        <v>135</v>
      </c>
      <c r="B69" t="s">
        <v>87</v>
      </c>
      <c r="C69" t="s">
        <v>210</v>
      </c>
      <c r="D69">
        <v>1</v>
      </c>
    </row>
    <row r="70" spans="1:4" x14ac:dyDescent="0.3">
      <c r="A70" t="s">
        <v>136</v>
      </c>
      <c r="B70" t="s">
        <v>87</v>
      </c>
      <c r="C70" t="s">
        <v>211</v>
      </c>
      <c r="D70">
        <v>1</v>
      </c>
    </row>
    <row r="71" spans="1:4" x14ac:dyDescent="0.3">
      <c r="A71" t="s">
        <v>137</v>
      </c>
      <c r="B71" t="s">
        <v>95</v>
      </c>
      <c r="C71" t="s">
        <v>212</v>
      </c>
      <c r="D71">
        <v>1</v>
      </c>
    </row>
    <row r="72" spans="1:4" x14ac:dyDescent="0.3">
      <c r="A72" t="s">
        <v>138</v>
      </c>
      <c r="B72" t="s">
        <v>87</v>
      </c>
      <c r="C72" t="s">
        <v>213</v>
      </c>
      <c r="D72">
        <v>1</v>
      </c>
    </row>
    <row r="73" spans="1:4" x14ac:dyDescent="0.3">
      <c r="A73" t="s">
        <v>139</v>
      </c>
      <c r="B73" t="s">
        <v>89</v>
      </c>
      <c r="C73" t="s">
        <v>214</v>
      </c>
      <c r="D73">
        <v>1</v>
      </c>
    </row>
    <row r="74" spans="1:4" x14ac:dyDescent="0.3">
      <c r="A74" t="s">
        <v>140</v>
      </c>
      <c r="B74" t="s">
        <v>95</v>
      </c>
      <c r="C74" t="s">
        <v>215</v>
      </c>
      <c r="D74">
        <v>1</v>
      </c>
    </row>
    <row r="75" spans="1:4" x14ac:dyDescent="0.3">
      <c r="A75" t="s">
        <v>141</v>
      </c>
      <c r="B75" t="s">
        <v>95</v>
      </c>
      <c r="C75" t="s">
        <v>216</v>
      </c>
      <c r="D75">
        <v>1</v>
      </c>
    </row>
    <row r="76" spans="1:4" x14ac:dyDescent="0.3">
      <c r="A76" t="s">
        <v>142</v>
      </c>
      <c r="B76" t="s">
        <v>104</v>
      </c>
      <c r="C76" t="s">
        <v>217</v>
      </c>
      <c r="D76">
        <v>1</v>
      </c>
    </row>
    <row r="77" spans="1:4" x14ac:dyDescent="0.3">
      <c r="A77" t="s">
        <v>143</v>
      </c>
      <c r="B77" t="s">
        <v>93</v>
      </c>
      <c r="C77" t="s">
        <v>217</v>
      </c>
      <c r="D77">
        <v>1</v>
      </c>
    </row>
    <row r="78" spans="1:4" x14ac:dyDescent="0.3">
      <c r="A78" t="s">
        <v>144</v>
      </c>
      <c r="B78" t="s">
        <v>87</v>
      </c>
      <c r="C78" t="s">
        <v>218</v>
      </c>
      <c r="D78">
        <v>1</v>
      </c>
    </row>
    <row r="79" spans="1:4" x14ac:dyDescent="0.3">
      <c r="A79" t="s">
        <v>145</v>
      </c>
      <c r="B79" t="s">
        <v>87</v>
      </c>
      <c r="C79" t="s">
        <v>219</v>
      </c>
      <c r="D79">
        <v>1</v>
      </c>
    </row>
    <row r="80" spans="1:4" x14ac:dyDescent="0.3">
      <c r="A80" t="s">
        <v>146</v>
      </c>
      <c r="B80" t="s">
        <v>89</v>
      </c>
      <c r="C80" t="s">
        <v>220</v>
      </c>
      <c r="D80">
        <v>1</v>
      </c>
    </row>
    <row r="81" spans="1:4" x14ac:dyDescent="0.3">
      <c r="A81" t="s">
        <v>147</v>
      </c>
      <c r="B81" t="s">
        <v>104</v>
      </c>
      <c r="C81" t="s">
        <v>221</v>
      </c>
      <c r="D81">
        <v>1</v>
      </c>
    </row>
    <row r="82" spans="1:4" x14ac:dyDescent="0.3">
      <c r="A82" t="s">
        <v>148</v>
      </c>
      <c r="B82" t="s">
        <v>93</v>
      </c>
      <c r="C82" t="s">
        <v>222</v>
      </c>
      <c r="D82">
        <v>1</v>
      </c>
    </row>
    <row r="83" spans="1:4" x14ac:dyDescent="0.3">
      <c r="A83" t="s">
        <v>149</v>
      </c>
      <c r="B83" t="s">
        <v>97</v>
      </c>
      <c r="C83" t="s">
        <v>223</v>
      </c>
      <c r="D83">
        <v>1</v>
      </c>
    </row>
    <row r="84" spans="1:4" x14ac:dyDescent="0.3">
      <c r="A84" t="s">
        <v>150</v>
      </c>
      <c r="B84" t="s">
        <v>95</v>
      </c>
      <c r="C84" t="s">
        <v>224</v>
      </c>
      <c r="D84">
        <v>1</v>
      </c>
    </row>
    <row r="85" spans="1:4" x14ac:dyDescent="0.3">
      <c r="A85" t="s">
        <v>151</v>
      </c>
      <c r="B85" t="s">
        <v>87</v>
      </c>
      <c r="C85" t="s">
        <v>225</v>
      </c>
      <c r="D85">
        <v>1</v>
      </c>
    </row>
    <row r="86" spans="1:4" x14ac:dyDescent="0.3">
      <c r="A86" t="s">
        <v>152</v>
      </c>
      <c r="B86" t="s">
        <v>95</v>
      </c>
      <c r="C86" t="s">
        <v>226</v>
      </c>
      <c r="D86">
        <v>1</v>
      </c>
    </row>
    <row r="87" spans="1:4" x14ac:dyDescent="0.3">
      <c r="A87" t="s">
        <v>153</v>
      </c>
      <c r="B87" t="s">
        <v>87</v>
      </c>
      <c r="C87" t="s">
        <v>227</v>
      </c>
      <c r="D87">
        <v>1</v>
      </c>
    </row>
    <row r="88" spans="1:4" x14ac:dyDescent="0.3">
      <c r="A88" t="s">
        <v>154</v>
      </c>
      <c r="B88" t="s">
        <v>95</v>
      </c>
      <c r="C88" t="s">
        <v>228</v>
      </c>
      <c r="D88">
        <v>1</v>
      </c>
    </row>
    <row r="89" spans="1:4" x14ac:dyDescent="0.3">
      <c r="A89" t="s">
        <v>155</v>
      </c>
      <c r="B89" t="s">
        <v>93</v>
      </c>
      <c r="C89" t="s">
        <v>229</v>
      </c>
      <c r="D89">
        <v>1</v>
      </c>
    </row>
    <row r="90" spans="1:4" x14ac:dyDescent="0.3">
      <c r="A90" t="s">
        <v>156</v>
      </c>
      <c r="B90" t="s">
        <v>95</v>
      </c>
      <c r="C90" t="s">
        <v>230</v>
      </c>
      <c r="D90">
        <v>1</v>
      </c>
    </row>
    <row r="91" spans="1:4" x14ac:dyDescent="0.3">
      <c r="A91" t="s">
        <v>157</v>
      </c>
      <c r="B91" t="s">
        <v>93</v>
      </c>
      <c r="C91" t="s">
        <v>230</v>
      </c>
      <c r="D91">
        <v>1</v>
      </c>
    </row>
    <row r="92" spans="1:4" x14ac:dyDescent="0.3">
      <c r="A92" t="s">
        <v>158</v>
      </c>
      <c r="B92" t="s">
        <v>97</v>
      </c>
      <c r="C92" t="s">
        <v>230</v>
      </c>
      <c r="D92">
        <v>1</v>
      </c>
    </row>
    <row r="93" spans="1:4" x14ac:dyDescent="0.3">
      <c r="A93" t="s">
        <v>159</v>
      </c>
      <c r="B93" t="s">
        <v>95</v>
      </c>
      <c r="C93" t="s">
        <v>231</v>
      </c>
      <c r="D93">
        <v>1</v>
      </c>
    </row>
    <row r="94" spans="1:4" x14ac:dyDescent="0.3">
      <c r="A94" t="s">
        <v>160</v>
      </c>
      <c r="B94" t="s">
        <v>95</v>
      </c>
      <c r="C94" t="s">
        <v>232</v>
      </c>
      <c r="D94">
        <v>1</v>
      </c>
    </row>
    <row r="95" spans="1:4" x14ac:dyDescent="0.3">
      <c r="A95" t="s">
        <v>161</v>
      </c>
      <c r="B95" t="s">
        <v>95</v>
      </c>
      <c r="C95" t="s">
        <v>233</v>
      </c>
      <c r="D95">
        <v>1</v>
      </c>
    </row>
    <row r="96" spans="1:4" x14ac:dyDescent="0.3">
      <c r="A96" t="s">
        <v>162</v>
      </c>
      <c r="B96" t="s">
        <v>87</v>
      </c>
      <c r="C96" t="s">
        <v>234</v>
      </c>
      <c r="D96">
        <v>1</v>
      </c>
    </row>
    <row r="97" spans="1:4" x14ac:dyDescent="0.3">
      <c r="A97" t="s">
        <v>163</v>
      </c>
      <c r="B97" t="s">
        <v>87</v>
      </c>
      <c r="C97" t="s">
        <v>235</v>
      </c>
      <c r="D97">
        <v>1</v>
      </c>
    </row>
    <row r="98" spans="1:4" x14ac:dyDescent="0.3">
      <c r="A98" t="s">
        <v>164</v>
      </c>
      <c r="B98" t="s">
        <v>95</v>
      </c>
      <c r="C98" t="s">
        <v>236</v>
      </c>
      <c r="D98">
        <v>1</v>
      </c>
    </row>
    <row r="99" spans="1:4" x14ac:dyDescent="0.3">
      <c r="A99" t="s">
        <v>165</v>
      </c>
      <c r="B99" t="s">
        <v>104</v>
      </c>
      <c r="C99" t="s">
        <v>237</v>
      </c>
      <c r="D99">
        <v>1</v>
      </c>
    </row>
    <row r="100" spans="1:4" x14ac:dyDescent="0.3">
      <c r="A100" t="s">
        <v>166</v>
      </c>
      <c r="B100" t="s">
        <v>97</v>
      </c>
      <c r="C100" t="s">
        <v>238</v>
      </c>
      <c r="D100">
        <v>1</v>
      </c>
    </row>
    <row r="101" spans="1:4" x14ac:dyDescent="0.3">
      <c r="A101" t="s">
        <v>167</v>
      </c>
      <c r="B101" t="s">
        <v>87</v>
      </c>
      <c r="C101" t="s">
        <v>239</v>
      </c>
      <c r="D101">
        <v>1</v>
      </c>
    </row>
    <row r="102" spans="1:4" x14ac:dyDescent="0.3">
      <c r="A102" t="s">
        <v>168</v>
      </c>
      <c r="B102" t="s">
        <v>93</v>
      </c>
      <c r="C102" t="s">
        <v>240</v>
      </c>
      <c r="D102">
        <v>1</v>
      </c>
    </row>
    <row r="103" spans="1:4" x14ac:dyDescent="0.3">
      <c r="A103" t="s">
        <v>169</v>
      </c>
      <c r="B103" t="s">
        <v>97</v>
      </c>
      <c r="C103" t="s">
        <v>241</v>
      </c>
      <c r="D1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opLeftCell="A55" workbookViewId="0">
      <selection activeCell="B75" sqref="B75"/>
    </sheetView>
  </sheetViews>
  <sheetFormatPr defaultRowHeight="14.4" x14ac:dyDescent="0.3"/>
  <cols>
    <col min="1" max="1" width="70" bestFit="1" customWidth="1"/>
  </cols>
  <sheetData>
    <row r="1" spans="1:2" x14ac:dyDescent="0.3">
      <c r="A1" t="s">
        <v>246</v>
      </c>
      <c r="B1" t="str">
        <f>LEFT(A1,5)</f>
        <v>28005</v>
      </c>
    </row>
    <row r="2" spans="1:2" x14ac:dyDescent="0.3">
      <c r="A2" t="s">
        <v>247</v>
      </c>
      <c r="B2" t="str">
        <f t="shared" ref="B2:B65" si="0">LEFT(A2,5)</f>
        <v>28042</v>
      </c>
    </row>
    <row r="3" spans="1:2" x14ac:dyDescent="0.3">
      <c r="A3" t="s">
        <v>248</v>
      </c>
      <c r="B3" t="str">
        <f t="shared" si="0"/>
        <v>28046</v>
      </c>
    </row>
    <row r="4" spans="1:2" x14ac:dyDescent="0.3">
      <c r="A4" t="s">
        <v>249</v>
      </c>
      <c r="B4" t="str">
        <f t="shared" si="0"/>
        <v>28056</v>
      </c>
    </row>
    <row r="5" spans="1:2" x14ac:dyDescent="0.3">
      <c r="A5" t="s">
        <v>250</v>
      </c>
      <c r="B5" t="str">
        <f t="shared" si="0"/>
        <v>28059</v>
      </c>
    </row>
    <row r="6" spans="1:2" x14ac:dyDescent="0.3">
      <c r="A6" t="s">
        <v>251</v>
      </c>
      <c r="B6" t="str">
        <f t="shared" si="0"/>
        <v>28087</v>
      </c>
    </row>
    <row r="7" spans="1:2" x14ac:dyDescent="0.3">
      <c r="A7" t="s">
        <v>252</v>
      </c>
      <c r="B7" t="str">
        <f t="shared" si="0"/>
        <v>28088</v>
      </c>
    </row>
    <row r="8" spans="1:2" x14ac:dyDescent="0.3">
      <c r="A8" t="s">
        <v>253</v>
      </c>
      <c r="B8" t="str">
        <f t="shared" si="0"/>
        <v>28101</v>
      </c>
    </row>
    <row r="9" spans="1:2" x14ac:dyDescent="0.3">
      <c r="A9" t="s">
        <v>254</v>
      </c>
      <c r="B9" t="str">
        <f t="shared" si="0"/>
        <v>28112</v>
      </c>
    </row>
    <row r="10" spans="1:2" x14ac:dyDescent="0.3">
      <c r="A10" t="s">
        <v>255</v>
      </c>
      <c r="B10" t="str">
        <f t="shared" si="0"/>
        <v>28116</v>
      </c>
    </row>
    <row r="11" spans="1:2" x14ac:dyDescent="0.3">
      <c r="A11" t="s">
        <v>256</v>
      </c>
      <c r="B11" t="str">
        <f t="shared" si="0"/>
        <v>28117</v>
      </c>
    </row>
    <row r="12" spans="1:2" x14ac:dyDescent="0.3">
      <c r="A12" t="s">
        <v>257</v>
      </c>
      <c r="B12" t="str">
        <f t="shared" si="0"/>
        <v>28139</v>
      </c>
    </row>
    <row r="13" spans="1:2" x14ac:dyDescent="0.3">
      <c r="A13" t="s">
        <v>258</v>
      </c>
      <c r="B13" t="str">
        <f t="shared" si="0"/>
        <v>28140</v>
      </c>
    </row>
    <row r="14" spans="1:2" x14ac:dyDescent="0.3">
      <c r="A14" t="s">
        <v>259</v>
      </c>
      <c r="B14" t="str">
        <f t="shared" si="0"/>
        <v>28150</v>
      </c>
    </row>
    <row r="15" spans="1:2" x14ac:dyDescent="0.3">
      <c r="A15" t="s">
        <v>260</v>
      </c>
      <c r="B15" t="str">
        <f t="shared" si="0"/>
        <v>28163</v>
      </c>
    </row>
    <row r="16" spans="1:2" x14ac:dyDescent="0.3">
      <c r="A16" t="s">
        <v>261</v>
      </c>
      <c r="B16" t="str">
        <f t="shared" si="0"/>
        <v>28188</v>
      </c>
    </row>
    <row r="17" spans="1:2" x14ac:dyDescent="0.3">
      <c r="A17" t="s">
        <v>262</v>
      </c>
      <c r="B17" t="str">
        <f t="shared" si="0"/>
        <v>28205</v>
      </c>
    </row>
    <row r="18" spans="1:2" x14ac:dyDescent="0.3">
      <c r="A18" t="s">
        <v>263</v>
      </c>
      <c r="B18" t="str">
        <f t="shared" si="0"/>
        <v>28214</v>
      </c>
    </row>
    <row r="19" spans="1:2" x14ac:dyDescent="0.3">
      <c r="A19" t="s">
        <v>264</v>
      </c>
      <c r="B19" t="str">
        <f t="shared" si="0"/>
        <v>28223</v>
      </c>
    </row>
    <row r="20" spans="1:2" x14ac:dyDescent="0.3">
      <c r="A20" t="s">
        <v>265</v>
      </c>
      <c r="B20" t="str">
        <f t="shared" si="0"/>
        <v>28245</v>
      </c>
    </row>
    <row r="21" spans="1:2" x14ac:dyDescent="0.3">
      <c r="A21" t="s">
        <v>266</v>
      </c>
      <c r="B21" t="str">
        <f t="shared" si="0"/>
        <v>28246</v>
      </c>
    </row>
    <row r="22" spans="1:2" x14ac:dyDescent="0.3">
      <c r="A22" t="s">
        <v>267</v>
      </c>
      <c r="B22" t="str">
        <f t="shared" si="0"/>
        <v>28270</v>
      </c>
    </row>
    <row r="23" spans="1:2" x14ac:dyDescent="0.3">
      <c r="A23" t="s">
        <v>268</v>
      </c>
      <c r="B23" t="str">
        <f t="shared" si="0"/>
        <v>28273</v>
      </c>
    </row>
    <row r="24" spans="1:2" x14ac:dyDescent="0.3">
      <c r="A24" t="s">
        <v>269</v>
      </c>
      <c r="B24" t="str">
        <f t="shared" si="0"/>
        <v>28292</v>
      </c>
    </row>
    <row r="25" spans="1:2" x14ac:dyDescent="0.3">
      <c r="A25" t="s">
        <v>270</v>
      </c>
      <c r="B25" t="str">
        <f t="shared" si="0"/>
        <v>28294</v>
      </c>
    </row>
    <row r="26" spans="1:2" x14ac:dyDescent="0.3">
      <c r="A26" t="s">
        <v>271</v>
      </c>
      <c r="B26" t="str">
        <f t="shared" si="0"/>
        <v>28305</v>
      </c>
    </row>
    <row r="27" spans="1:2" x14ac:dyDescent="0.3">
      <c r="A27" t="s">
        <v>272</v>
      </c>
      <c r="B27" t="str">
        <f t="shared" si="0"/>
        <v>28318</v>
      </c>
    </row>
    <row r="28" spans="1:2" x14ac:dyDescent="0.3">
      <c r="A28" t="s">
        <v>273</v>
      </c>
      <c r="B28" t="str">
        <f t="shared" si="0"/>
        <v>28348</v>
      </c>
    </row>
    <row r="29" spans="1:2" x14ac:dyDescent="0.3">
      <c r="A29" t="s">
        <v>274</v>
      </c>
      <c r="B29" t="str">
        <f t="shared" si="0"/>
        <v>28366</v>
      </c>
    </row>
    <row r="30" spans="1:2" x14ac:dyDescent="0.3">
      <c r="A30" t="s">
        <v>275</v>
      </c>
      <c r="B30" t="str">
        <f t="shared" si="0"/>
        <v>28369</v>
      </c>
    </row>
    <row r="31" spans="1:2" x14ac:dyDescent="0.3">
      <c r="A31" t="s">
        <v>276</v>
      </c>
      <c r="B31" t="str">
        <f t="shared" si="0"/>
        <v>28371</v>
      </c>
    </row>
    <row r="32" spans="1:2" x14ac:dyDescent="0.3">
      <c r="A32" t="s">
        <v>277</v>
      </c>
      <c r="B32" t="str">
        <f t="shared" si="0"/>
        <v>28392</v>
      </c>
    </row>
    <row r="33" spans="1:2" x14ac:dyDescent="0.3">
      <c r="A33" t="s">
        <v>278</v>
      </c>
      <c r="B33" t="str">
        <f t="shared" si="0"/>
        <v>28401</v>
      </c>
    </row>
    <row r="34" spans="1:2" x14ac:dyDescent="0.3">
      <c r="A34" t="s">
        <v>279</v>
      </c>
      <c r="B34" t="str">
        <f t="shared" si="0"/>
        <v>28447</v>
      </c>
    </row>
    <row r="35" spans="1:2" x14ac:dyDescent="0.3">
      <c r="A35" t="s">
        <v>280</v>
      </c>
      <c r="B35" t="str">
        <f t="shared" si="0"/>
        <v>28466</v>
      </c>
    </row>
    <row r="36" spans="1:2" x14ac:dyDescent="0.3">
      <c r="A36" t="s">
        <v>281</v>
      </c>
      <c r="B36" t="str">
        <f t="shared" si="0"/>
        <v>28477</v>
      </c>
    </row>
    <row r="37" spans="1:2" x14ac:dyDescent="0.3">
      <c r="A37" t="s">
        <v>282</v>
      </c>
      <c r="B37" t="str">
        <f t="shared" si="0"/>
        <v>28477</v>
      </c>
    </row>
    <row r="38" spans="1:2" x14ac:dyDescent="0.3">
      <c r="A38" t="s">
        <v>283</v>
      </c>
      <c r="B38" t="str">
        <f t="shared" si="0"/>
        <v>28602</v>
      </c>
    </row>
    <row r="39" spans="1:2" x14ac:dyDescent="0.3">
      <c r="A39" t="s">
        <v>284</v>
      </c>
      <c r="B39" t="str">
        <f t="shared" si="0"/>
        <v>28614</v>
      </c>
    </row>
    <row r="40" spans="1:2" x14ac:dyDescent="0.3">
      <c r="A40" t="s">
        <v>285</v>
      </c>
      <c r="B40" t="str">
        <f t="shared" si="0"/>
        <v>28628</v>
      </c>
    </row>
    <row r="41" spans="1:2" x14ac:dyDescent="0.3">
      <c r="A41" t="s">
        <v>286</v>
      </c>
      <c r="B41" t="str">
        <f t="shared" si="0"/>
        <v>28679</v>
      </c>
    </row>
    <row r="42" spans="1:2" x14ac:dyDescent="0.3">
      <c r="A42" t="s">
        <v>287</v>
      </c>
      <c r="B42" t="str">
        <f t="shared" si="0"/>
        <v>28849</v>
      </c>
    </row>
    <row r="43" spans="1:2" x14ac:dyDescent="0.3">
      <c r="A43" t="s">
        <v>288</v>
      </c>
      <c r="B43" t="str">
        <f t="shared" si="0"/>
        <v>28925</v>
      </c>
    </row>
    <row r="44" spans="1:2" x14ac:dyDescent="0.3">
      <c r="A44" t="s">
        <v>289</v>
      </c>
      <c r="B44" t="str">
        <f t="shared" si="0"/>
        <v>28973</v>
      </c>
    </row>
    <row r="45" spans="1:2" x14ac:dyDescent="0.3">
      <c r="A45" t="s">
        <v>290</v>
      </c>
      <c r="B45" t="str">
        <f t="shared" si="0"/>
        <v>29074</v>
      </c>
    </row>
    <row r="46" spans="1:2" x14ac:dyDescent="0.3">
      <c r="A46" t="s">
        <v>291</v>
      </c>
      <c r="B46" t="str">
        <f t="shared" si="0"/>
        <v>29751</v>
      </c>
    </row>
    <row r="47" spans="1:2" x14ac:dyDescent="0.3">
      <c r="A47" t="s">
        <v>292</v>
      </c>
      <c r="B47" t="str">
        <f t="shared" si="0"/>
        <v>31356</v>
      </c>
    </row>
    <row r="48" spans="1:2" x14ac:dyDescent="0.3">
      <c r="A48" t="s">
        <v>293</v>
      </c>
      <c r="B48" t="str">
        <f t="shared" si="0"/>
        <v>31386</v>
      </c>
    </row>
    <row r="49" spans="1:2" x14ac:dyDescent="0.3">
      <c r="A49" t="s">
        <v>294</v>
      </c>
      <c r="B49" t="str">
        <f t="shared" si="0"/>
        <v>31452</v>
      </c>
    </row>
    <row r="50" spans="1:2" x14ac:dyDescent="0.3">
      <c r="A50" t="s">
        <v>295</v>
      </c>
      <c r="B50" t="str">
        <f t="shared" si="0"/>
        <v>31493</v>
      </c>
    </row>
    <row r="51" spans="1:2" x14ac:dyDescent="0.3">
      <c r="A51" t="s">
        <v>296</v>
      </c>
      <c r="B51" t="str">
        <f t="shared" si="0"/>
        <v>31843</v>
      </c>
    </row>
    <row r="52" spans="1:2" x14ac:dyDescent="0.3">
      <c r="A52" t="s">
        <v>297</v>
      </c>
      <c r="B52" t="str">
        <f t="shared" si="0"/>
        <v>31962</v>
      </c>
    </row>
    <row r="53" spans="1:2" x14ac:dyDescent="0.3">
      <c r="A53" t="s">
        <v>298</v>
      </c>
      <c r="B53" t="str">
        <f t="shared" si="0"/>
        <v>32076</v>
      </c>
    </row>
    <row r="54" spans="1:2" x14ac:dyDescent="0.3">
      <c r="A54" t="s">
        <v>299</v>
      </c>
      <c r="B54" t="str">
        <f t="shared" si="0"/>
        <v>32139</v>
      </c>
    </row>
    <row r="55" spans="1:2" x14ac:dyDescent="0.3">
      <c r="A55" t="s">
        <v>300</v>
      </c>
      <c r="B55" t="str">
        <f t="shared" si="0"/>
        <v>32828</v>
      </c>
    </row>
    <row r="56" spans="1:2" x14ac:dyDescent="0.3">
      <c r="A56" t="s">
        <v>301</v>
      </c>
      <c r="B56" t="str">
        <f t="shared" si="0"/>
        <v>33162</v>
      </c>
    </row>
    <row r="57" spans="1:2" x14ac:dyDescent="0.3">
      <c r="A57" t="s">
        <v>302</v>
      </c>
      <c r="B57" t="str">
        <f t="shared" si="0"/>
        <v>33877</v>
      </c>
    </row>
    <row r="58" spans="1:2" x14ac:dyDescent="0.3">
      <c r="A58" t="s">
        <v>303</v>
      </c>
      <c r="B58" t="str">
        <f t="shared" si="0"/>
        <v>34099</v>
      </c>
    </row>
    <row r="59" spans="1:2" x14ac:dyDescent="0.3">
      <c r="A59" t="s">
        <v>304</v>
      </c>
      <c r="B59" t="str">
        <f t="shared" si="0"/>
        <v>34383</v>
      </c>
    </row>
    <row r="60" spans="1:2" x14ac:dyDescent="0.3">
      <c r="A60" t="s">
        <v>305</v>
      </c>
      <c r="B60" t="str">
        <f t="shared" si="0"/>
        <v>34577</v>
      </c>
    </row>
    <row r="61" spans="1:2" x14ac:dyDescent="0.3">
      <c r="A61" t="s">
        <v>306</v>
      </c>
      <c r="B61" t="str">
        <f t="shared" si="0"/>
        <v>34723</v>
      </c>
    </row>
    <row r="62" spans="1:2" x14ac:dyDescent="0.3">
      <c r="A62" t="s">
        <v>307</v>
      </c>
      <c r="B62" t="str">
        <f t="shared" si="0"/>
        <v>34733</v>
      </c>
    </row>
    <row r="63" spans="1:2" x14ac:dyDescent="0.3">
      <c r="A63" t="s">
        <v>308</v>
      </c>
      <c r="B63" t="str">
        <f t="shared" si="0"/>
        <v>34950</v>
      </c>
    </row>
    <row r="64" spans="1:2" x14ac:dyDescent="0.3">
      <c r="A64" t="s">
        <v>309</v>
      </c>
      <c r="B64" t="str">
        <f t="shared" si="0"/>
        <v>35272</v>
      </c>
    </row>
    <row r="65" spans="1:2" x14ac:dyDescent="0.3">
      <c r="A65" t="s">
        <v>310</v>
      </c>
      <c r="B65" t="str">
        <f t="shared" si="0"/>
        <v>35382</v>
      </c>
    </row>
    <row r="66" spans="1:2" x14ac:dyDescent="0.3">
      <c r="A66" t="s">
        <v>311</v>
      </c>
      <c r="B66" t="str">
        <f t="shared" ref="B66:B78" si="1">LEFT(A66,5)</f>
        <v>35451</v>
      </c>
    </row>
    <row r="67" spans="1:2" x14ac:dyDescent="0.3">
      <c r="A67" t="s">
        <v>312</v>
      </c>
      <c r="B67" t="str">
        <f t="shared" si="1"/>
        <v>35920</v>
      </c>
    </row>
    <row r="68" spans="1:2" x14ac:dyDescent="0.3">
      <c r="A68" t="s">
        <v>313</v>
      </c>
      <c r="B68" t="str">
        <f t="shared" si="1"/>
        <v>36037</v>
      </c>
    </row>
    <row r="69" spans="1:2" x14ac:dyDescent="0.3">
      <c r="A69" t="s">
        <v>314</v>
      </c>
      <c r="B69" t="str">
        <f t="shared" si="1"/>
        <v>36086</v>
      </c>
    </row>
    <row r="70" spans="1:2" x14ac:dyDescent="0.3">
      <c r="A70" t="s">
        <v>315</v>
      </c>
      <c r="B70" t="str">
        <f t="shared" si="1"/>
        <v>36200</v>
      </c>
    </row>
    <row r="71" spans="1:2" x14ac:dyDescent="0.3">
      <c r="A71" t="s">
        <v>316</v>
      </c>
      <c r="B71" t="str">
        <f t="shared" si="1"/>
        <v>36265</v>
      </c>
    </row>
    <row r="72" spans="1:2" x14ac:dyDescent="0.3">
      <c r="A72" t="s">
        <v>317</v>
      </c>
      <c r="B72" t="str">
        <f t="shared" si="1"/>
        <v>36353</v>
      </c>
    </row>
    <row r="73" spans="1:2" x14ac:dyDescent="0.3">
      <c r="A73" t="s">
        <v>318</v>
      </c>
      <c r="B73" t="str">
        <f t="shared" si="1"/>
        <v>36375</v>
      </c>
    </row>
    <row r="74" spans="1:2" x14ac:dyDescent="0.3">
      <c r="A74" t="s">
        <v>319</v>
      </c>
      <c r="B74" t="str">
        <f t="shared" si="1"/>
        <v>36499</v>
      </c>
    </row>
    <row r="75" spans="1:2" x14ac:dyDescent="0.3">
      <c r="A75" t="s">
        <v>320</v>
      </c>
      <c r="B75" t="str">
        <f t="shared" si="1"/>
        <v>36542</v>
      </c>
    </row>
    <row r="76" spans="1:2" x14ac:dyDescent="0.3">
      <c r="A76" t="s">
        <v>321</v>
      </c>
      <c r="B76" t="str">
        <f t="shared" si="1"/>
        <v>36754</v>
      </c>
    </row>
    <row r="77" spans="1:2" x14ac:dyDescent="0.3">
      <c r="A77" t="s">
        <v>323</v>
      </c>
      <c r="B77" t="str">
        <f t="shared" si="1"/>
        <v>28375</v>
      </c>
    </row>
    <row r="78" spans="1:2" x14ac:dyDescent="0.3">
      <c r="A78" t="s">
        <v>324</v>
      </c>
      <c r="B78" t="str">
        <f t="shared" si="1"/>
        <v>35479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Лист4</vt:lpstr>
      <vt:lpstr>Source</vt:lpstr>
      <vt:lpstr>PIVOT</vt:lpstr>
      <vt:lpstr>Structured</vt:lpstr>
      <vt:lpstr>dir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2026-02-17T07:46:17Z</dcterms:modified>
</cp:coreProperties>
</file>